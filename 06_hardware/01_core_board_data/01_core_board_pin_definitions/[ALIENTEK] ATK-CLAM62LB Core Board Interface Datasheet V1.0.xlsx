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linux部门日常\宣传（推文+媒体）\AM62L（百科正编辑、软文发布中）\am62l_english\06_hardware\01_core_board_data\01_core_board_pin_definitions\"/>
    </mc:Choice>
  </mc:AlternateContent>
  <xr:revisionPtr revIDLastSave="0" documentId="13_ncr:1_{C7F88878-60F1-4431-AFDC-279ED2A3337C}" xr6:coauthVersionLast="47" xr6:coauthVersionMax="47" xr10:uidLastSave="{00000000-0000-0000-0000-000000000000}"/>
  <bookViews>
    <workbookView xWindow="5850" yWindow="525" windowWidth="22710" windowHeight="1255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203" i="1" l="1"/>
  <c r="D193" i="1"/>
  <c r="D173" i="1"/>
  <c r="D112" i="1"/>
  <c r="D111" i="1"/>
  <c r="D110" i="1"/>
  <c r="D109" i="1"/>
  <c r="D108" i="1"/>
  <c r="D107" i="1"/>
  <c r="D98" i="1"/>
  <c r="D97" i="1"/>
  <c r="D96" i="1"/>
  <c r="D95" i="1"/>
  <c r="D94" i="1"/>
  <c r="D93" i="1"/>
  <c r="D40" i="1"/>
  <c r="D32" i="1"/>
  <c r="D24" i="1"/>
  <c r="D13" i="1"/>
</calcChain>
</file>

<file path=xl/sharedStrings.xml><?xml version="1.0" encoding="utf-8"?>
<sst xmlns="http://schemas.openxmlformats.org/spreadsheetml/2006/main" count="936" uniqueCount="715">
  <si>
    <t>MMC2_CLK</t>
  </si>
  <si>
    <t>MMC2_CMD</t>
  </si>
  <si>
    <t>A_1</t>
    <phoneticPr fontId="1" type="noConversion"/>
  </si>
  <si>
    <t>A_2</t>
    <phoneticPr fontId="1" type="noConversion"/>
  </si>
  <si>
    <t>B_1</t>
    <phoneticPr fontId="1" type="noConversion"/>
  </si>
  <si>
    <t>B_2</t>
    <phoneticPr fontId="1" type="noConversion"/>
  </si>
  <si>
    <t>\</t>
    <phoneticPr fontId="1" type="noConversion"/>
  </si>
  <si>
    <t>A_3</t>
    <phoneticPr fontId="1" type="noConversion"/>
  </si>
  <si>
    <t>A_4</t>
    <phoneticPr fontId="1" type="noConversion"/>
  </si>
  <si>
    <t>A_5</t>
    <phoneticPr fontId="1" type="noConversion"/>
  </si>
  <si>
    <t>A_6</t>
    <phoneticPr fontId="1" type="noConversion"/>
  </si>
  <si>
    <t>A_7</t>
    <phoneticPr fontId="1" type="noConversion"/>
  </si>
  <si>
    <t>A_8</t>
    <phoneticPr fontId="1" type="noConversion"/>
  </si>
  <si>
    <t>A_9</t>
    <phoneticPr fontId="1" type="noConversion"/>
  </si>
  <si>
    <t>A_10</t>
    <phoneticPr fontId="1" type="noConversion"/>
  </si>
  <si>
    <t>A_11</t>
    <phoneticPr fontId="1" type="noConversion"/>
  </si>
  <si>
    <t>A_12</t>
    <phoneticPr fontId="1" type="noConversion"/>
  </si>
  <si>
    <t>A_13</t>
    <phoneticPr fontId="1" type="noConversion"/>
  </si>
  <si>
    <t>A_14</t>
    <phoneticPr fontId="1" type="noConversion"/>
  </si>
  <si>
    <t>A_15</t>
    <phoneticPr fontId="1" type="noConversion"/>
  </si>
  <si>
    <t>A_16</t>
    <phoneticPr fontId="1" type="noConversion"/>
  </si>
  <si>
    <t>A_17</t>
    <phoneticPr fontId="1" type="noConversion"/>
  </si>
  <si>
    <t>A_18</t>
    <phoneticPr fontId="1" type="noConversion"/>
  </si>
  <si>
    <t>A_19</t>
    <phoneticPr fontId="1" type="noConversion"/>
  </si>
  <si>
    <t>A_20</t>
    <phoneticPr fontId="1" type="noConversion"/>
  </si>
  <si>
    <t>A_21</t>
    <phoneticPr fontId="1" type="noConversion"/>
  </si>
  <si>
    <t>A_22</t>
    <phoneticPr fontId="1" type="noConversion"/>
  </si>
  <si>
    <t>A_23</t>
    <phoneticPr fontId="1" type="noConversion"/>
  </si>
  <si>
    <t>A_24</t>
    <phoneticPr fontId="1" type="noConversion"/>
  </si>
  <si>
    <t>A_25</t>
    <phoneticPr fontId="1" type="noConversion"/>
  </si>
  <si>
    <t>A_26</t>
    <phoneticPr fontId="1" type="noConversion"/>
  </si>
  <si>
    <t>A_27</t>
    <phoneticPr fontId="1" type="noConversion"/>
  </si>
  <si>
    <t>A_28</t>
    <phoneticPr fontId="1" type="noConversion"/>
  </si>
  <si>
    <t>A_29</t>
    <phoneticPr fontId="1" type="noConversion"/>
  </si>
  <si>
    <t>A_30</t>
    <phoneticPr fontId="1" type="noConversion"/>
  </si>
  <si>
    <t>A_31</t>
    <phoneticPr fontId="1" type="noConversion"/>
  </si>
  <si>
    <t>A_32</t>
    <phoneticPr fontId="1" type="noConversion"/>
  </si>
  <si>
    <t>A_33</t>
    <phoneticPr fontId="1" type="noConversion"/>
  </si>
  <si>
    <t>A_34</t>
    <phoneticPr fontId="1" type="noConversion"/>
  </si>
  <si>
    <t>A_35</t>
    <phoneticPr fontId="1" type="noConversion"/>
  </si>
  <si>
    <t>A_36</t>
    <phoneticPr fontId="1" type="noConversion"/>
  </si>
  <si>
    <t>A_37</t>
    <phoneticPr fontId="1" type="noConversion"/>
  </si>
  <si>
    <t>A_38</t>
    <phoneticPr fontId="1" type="noConversion"/>
  </si>
  <si>
    <t>A_39</t>
    <phoneticPr fontId="1" type="noConversion"/>
  </si>
  <si>
    <t>A_40</t>
    <phoneticPr fontId="1" type="noConversion"/>
  </si>
  <si>
    <t>A_41</t>
    <phoneticPr fontId="1" type="noConversion"/>
  </si>
  <si>
    <t>A_42</t>
    <phoneticPr fontId="1" type="noConversion"/>
  </si>
  <si>
    <t>A_43</t>
    <phoneticPr fontId="1" type="noConversion"/>
  </si>
  <si>
    <t>A_44</t>
    <phoneticPr fontId="1" type="noConversion"/>
  </si>
  <si>
    <t>A_45</t>
    <phoneticPr fontId="1" type="noConversion"/>
  </si>
  <si>
    <t>A_46</t>
    <phoneticPr fontId="1" type="noConversion"/>
  </si>
  <si>
    <t>A_47</t>
    <phoneticPr fontId="1" type="noConversion"/>
  </si>
  <si>
    <t>A_48</t>
    <phoneticPr fontId="1" type="noConversion"/>
  </si>
  <si>
    <t>A_49</t>
    <phoneticPr fontId="1" type="noConversion"/>
  </si>
  <si>
    <t>A_50</t>
    <phoneticPr fontId="1" type="noConversion"/>
  </si>
  <si>
    <t>A_51</t>
    <phoneticPr fontId="1" type="noConversion"/>
  </si>
  <si>
    <t>A_52</t>
    <phoneticPr fontId="1" type="noConversion"/>
  </si>
  <si>
    <t>A_53</t>
    <phoneticPr fontId="1" type="noConversion"/>
  </si>
  <si>
    <t>A_54</t>
    <phoneticPr fontId="1" type="noConversion"/>
  </si>
  <si>
    <t>A_55</t>
    <phoneticPr fontId="1" type="noConversion"/>
  </si>
  <si>
    <t>A_56</t>
    <phoneticPr fontId="1" type="noConversion"/>
  </si>
  <si>
    <t>A_57</t>
    <phoneticPr fontId="1" type="noConversion"/>
  </si>
  <si>
    <t>A_58</t>
    <phoneticPr fontId="1" type="noConversion"/>
  </si>
  <si>
    <t>A_59</t>
    <phoneticPr fontId="1" type="noConversion"/>
  </si>
  <si>
    <t>A_60</t>
    <phoneticPr fontId="1" type="noConversion"/>
  </si>
  <si>
    <t>A_61</t>
    <phoneticPr fontId="1" type="noConversion"/>
  </si>
  <si>
    <t>A_62</t>
    <phoneticPr fontId="1" type="noConversion"/>
  </si>
  <si>
    <t>A_63</t>
    <phoneticPr fontId="1" type="noConversion"/>
  </si>
  <si>
    <t>A_64</t>
    <phoneticPr fontId="1" type="noConversion"/>
  </si>
  <si>
    <t>A_65</t>
    <phoneticPr fontId="1" type="noConversion"/>
  </si>
  <si>
    <t>A_66</t>
    <phoneticPr fontId="1" type="noConversion"/>
  </si>
  <si>
    <t>A_67</t>
    <phoneticPr fontId="1" type="noConversion"/>
  </si>
  <si>
    <t>A_68</t>
    <phoneticPr fontId="1" type="noConversion"/>
  </si>
  <si>
    <t>A_69</t>
    <phoneticPr fontId="1" type="noConversion"/>
  </si>
  <si>
    <t>A_70</t>
    <phoneticPr fontId="1" type="noConversion"/>
  </si>
  <si>
    <t>A_71</t>
    <phoneticPr fontId="1" type="noConversion"/>
  </si>
  <si>
    <t>A_72</t>
    <phoneticPr fontId="1" type="noConversion"/>
  </si>
  <si>
    <t>A_73</t>
    <phoneticPr fontId="1" type="noConversion"/>
  </si>
  <si>
    <t>A_74</t>
    <phoneticPr fontId="1" type="noConversion"/>
  </si>
  <si>
    <t>A_75</t>
    <phoneticPr fontId="1" type="noConversion"/>
  </si>
  <si>
    <t>A_76</t>
    <phoneticPr fontId="1" type="noConversion"/>
  </si>
  <si>
    <t>A_77</t>
    <phoneticPr fontId="1" type="noConversion"/>
  </si>
  <si>
    <t>A_78</t>
    <phoneticPr fontId="1" type="noConversion"/>
  </si>
  <si>
    <t>A_79</t>
    <phoneticPr fontId="1" type="noConversion"/>
  </si>
  <si>
    <t>A_80</t>
    <phoneticPr fontId="1" type="noConversion"/>
  </si>
  <si>
    <t>A_81</t>
    <phoneticPr fontId="1" type="noConversion"/>
  </si>
  <si>
    <t>A_82</t>
    <phoneticPr fontId="1" type="noConversion"/>
  </si>
  <si>
    <t>A_83</t>
    <phoneticPr fontId="1" type="noConversion"/>
  </si>
  <si>
    <t>A_84</t>
    <phoneticPr fontId="1" type="noConversion"/>
  </si>
  <si>
    <t>A_85</t>
    <phoneticPr fontId="1" type="noConversion"/>
  </si>
  <si>
    <t>A_86</t>
    <phoneticPr fontId="1" type="noConversion"/>
  </si>
  <si>
    <t>A_87</t>
    <phoneticPr fontId="1" type="noConversion"/>
  </si>
  <si>
    <t>A_88</t>
    <phoneticPr fontId="1" type="noConversion"/>
  </si>
  <si>
    <t>A_89</t>
    <phoneticPr fontId="1" type="noConversion"/>
  </si>
  <si>
    <t>A_90</t>
    <phoneticPr fontId="1" type="noConversion"/>
  </si>
  <si>
    <t>A_91</t>
    <phoneticPr fontId="1" type="noConversion"/>
  </si>
  <si>
    <t>A_92</t>
    <phoneticPr fontId="1" type="noConversion"/>
  </si>
  <si>
    <t>A_93</t>
    <phoneticPr fontId="1" type="noConversion"/>
  </si>
  <si>
    <t>A_94</t>
    <phoneticPr fontId="1" type="noConversion"/>
  </si>
  <si>
    <t>A_95</t>
    <phoneticPr fontId="1" type="noConversion"/>
  </si>
  <si>
    <t>A_96</t>
    <phoneticPr fontId="1" type="noConversion"/>
  </si>
  <si>
    <t>A_97</t>
    <phoneticPr fontId="1" type="noConversion"/>
  </si>
  <si>
    <t>A_98</t>
    <phoneticPr fontId="1" type="noConversion"/>
  </si>
  <si>
    <t>A_99</t>
    <phoneticPr fontId="1" type="noConversion"/>
  </si>
  <si>
    <t>A_100</t>
    <phoneticPr fontId="1" type="noConversion"/>
  </si>
  <si>
    <t>A_101</t>
    <phoneticPr fontId="1" type="noConversion"/>
  </si>
  <si>
    <t>A_102</t>
    <phoneticPr fontId="1" type="noConversion"/>
  </si>
  <si>
    <t>A_103</t>
    <phoneticPr fontId="1" type="noConversion"/>
  </si>
  <si>
    <t>A_104</t>
    <phoneticPr fontId="1" type="noConversion"/>
  </si>
  <si>
    <t>A_105</t>
    <phoneticPr fontId="1" type="noConversion"/>
  </si>
  <si>
    <t>A_106</t>
    <phoneticPr fontId="1" type="noConversion"/>
  </si>
  <si>
    <t>A_107</t>
    <phoneticPr fontId="1" type="noConversion"/>
  </si>
  <si>
    <t>A_108</t>
    <phoneticPr fontId="1" type="noConversion"/>
  </si>
  <si>
    <t>A_109</t>
    <phoneticPr fontId="1" type="noConversion"/>
  </si>
  <si>
    <t>A_110</t>
    <phoneticPr fontId="1" type="noConversion"/>
  </si>
  <si>
    <t>A_111</t>
    <phoneticPr fontId="1" type="noConversion"/>
  </si>
  <si>
    <t>A_112</t>
    <phoneticPr fontId="1" type="noConversion"/>
  </si>
  <si>
    <t>A_113</t>
    <phoneticPr fontId="1" type="noConversion"/>
  </si>
  <si>
    <t>A_114</t>
    <phoneticPr fontId="1" type="noConversion"/>
  </si>
  <si>
    <t>A_115</t>
    <phoneticPr fontId="1" type="noConversion"/>
  </si>
  <si>
    <t>A_116</t>
    <phoneticPr fontId="1" type="noConversion"/>
  </si>
  <si>
    <t>A_117</t>
    <phoneticPr fontId="1" type="noConversion"/>
  </si>
  <si>
    <t>A_118</t>
    <phoneticPr fontId="1" type="noConversion"/>
  </si>
  <si>
    <t>A_119</t>
    <phoneticPr fontId="1" type="noConversion"/>
  </si>
  <si>
    <t>A_120</t>
    <phoneticPr fontId="1" type="noConversion"/>
  </si>
  <si>
    <t>B_3</t>
    <phoneticPr fontId="1" type="noConversion"/>
  </si>
  <si>
    <t>B_4</t>
    <phoneticPr fontId="1" type="noConversion"/>
  </si>
  <si>
    <t>B_5</t>
    <phoneticPr fontId="1" type="noConversion"/>
  </si>
  <si>
    <t>B_6</t>
    <phoneticPr fontId="1" type="noConversion"/>
  </si>
  <si>
    <t>B_7</t>
    <phoneticPr fontId="1" type="noConversion"/>
  </si>
  <si>
    <t>B_8</t>
    <phoneticPr fontId="1" type="noConversion"/>
  </si>
  <si>
    <t>B_9</t>
    <phoneticPr fontId="1" type="noConversion"/>
  </si>
  <si>
    <t>B_10</t>
    <phoneticPr fontId="1" type="noConversion"/>
  </si>
  <si>
    <t>B_11</t>
    <phoneticPr fontId="1" type="noConversion"/>
  </si>
  <si>
    <t>B_12</t>
    <phoneticPr fontId="1" type="noConversion"/>
  </si>
  <si>
    <t>B_13</t>
    <phoneticPr fontId="1" type="noConversion"/>
  </si>
  <si>
    <t>B_14</t>
    <phoneticPr fontId="1" type="noConversion"/>
  </si>
  <si>
    <t>B_15</t>
    <phoneticPr fontId="1" type="noConversion"/>
  </si>
  <si>
    <t>B_16</t>
    <phoneticPr fontId="1" type="noConversion"/>
  </si>
  <si>
    <t>B_17</t>
    <phoneticPr fontId="1" type="noConversion"/>
  </si>
  <si>
    <t>B_18</t>
    <phoneticPr fontId="1" type="noConversion"/>
  </si>
  <si>
    <t>B_19</t>
    <phoneticPr fontId="1" type="noConversion"/>
  </si>
  <si>
    <t>B_20</t>
    <phoneticPr fontId="1" type="noConversion"/>
  </si>
  <si>
    <t>B_21</t>
    <phoneticPr fontId="1" type="noConversion"/>
  </si>
  <si>
    <t>B_22</t>
    <phoneticPr fontId="1" type="noConversion"/>
  </si>
  <si>
    <t>B_23</t>
    <phoneticPr fontId="1" type="noConversion"/>
  </si>
  <si>
    <t>B_24</t>
    <phoneticPr fontId="1" type="noConversion"/>
  </si>
  <si>
    <t>B_25</t>
    <phoneticPr fontId="1" type="noConversion"/>
  </si>
  <si>
    <t>B_26</t>
    <phoneticPr fontId="1" type="noConversion"/>
  </si>
  <si>
    <t>B_27</t>
    <phoneticPr fontId="1" type="noConversion"/>
  </si>
  <si>
    <t>B_28</t>
    <phoneticPr fontId="1" type="noConversion"/>
  </si>
  <si>
    <t>B_29</t>
    <phoneticPr fontId="1" type="noConversion"/>
  </si>
  <si>
    <t>B_30</t>
    <phoneticPr fontId="1" type="noConversion"/>
  </si>
  <si>
    <t>B_31</t>
    <phoneticPr fontId="1" type="noConversion"/>
  </si>
  <si>
    <t>B_32</t>
    <phoneticPr fontId="1" type="noConversion"/>
  </si>
  <si>
    <t>B_33</t>
    <phoneticPr fontId="1" type="noConversion"/>
  </si>
  <si>
    <t>B_34</t>
    <phoneticPr fontId="1" type="noConversion"/>
  </si>
  <si>
    <t>B_35</t>
    <phoneticPr fontId="1" type="noConversion"/>
  </si>
  <si>
    <t>B_36</t>
    <phoneticPr fontId="1" type="noConversion"/>
  </si>
  <si>
    <t>B_37</t>
    <phoneticPr fontId="1" type="noConversion"/>
  </si>
  <si>
    <t>B_38</t>
    <phoneticPr fontId="1" type="noConversion"/>
  </si>
  <si>
    <t>B_39</t>
    <phoneticPr fontId="1" type="noConversion"/>
  </si>
  <si>
    <t>B_40</t>
    <phoneticPr fontId="1" type="noConversion"/>
  </si>
  <si>
    <t>B_41</t>
    <phoneticPr fontId="1" type="noConversion"/>
  </si>
  <si>
    <t>B_42</t>
    <phoneticPr fontId="1" type="noConversion"/>
  </si>
  <si>
    <t>B_43</t>
    <phoneticPr fontId="1" type="noConversion"/>
  </si>
  <si>
    <t>B_44</t>
    <phoneticPr fontId="1" type="noConversion"/>
  </si>
  <si>
    <t>B_45</t>
    <phoneticPr fontId="1" type="noConversion"/>
  </si>
  <si>
    <t>B_46</t>
    <phoneticPr fontId="1" type="noConversion"/>
  </si>
  <si>
    <t>B_47</t>
    <phoneticPr fontId="1" type="noConversion"/>
  </si>
  <si>
    <t>B_48</t>
    <phoneticPr fontId="1" type="noConversion"/>
  </si>
  <si>
    <t>B_49</t>
    <phoneticPr fontId="1" type="noConversion"/>
  </si>
  <si>
    <t>B_50</t>
    <phoneticPr fontId="1" type="noConversion"/>
  </si>
  <si>
    <t>B_51</t>
    <phoneticPr fontId="1" type="noConversion"/>
  </si>
  <si>
    <t>B_52</t>
    <phoneticPr fontId="1" type="noConversion"/>
  </si>
  <si>
    <t>B_53</t>
    <phoneticPr fontId="1" type="noConversion"/>
  </si>
  <si>
    <t>B_54</t>
    <phoneticPr fontId="1" type="noConversion"/>
  </si>
  <si>
    <t>B_55</t>
    <phoneticPr fontId="1" type="noConversion"/>
  </si>
  <si>
    <t>B_56</t>
    <phoneticPr fontId="1" type="noConversion"/>
  </si>
  <si>
    <t>B_57</t>
    <phoneticPr fontId="1" type="noConversion"/>
  </si>
  <si>
    <t>B_58</t>
    <phoneticPr fontId="1" type="noConversion"/>
  </si>
  <si>
    <t>B_59</t>
    <phoneticPr fontId="1" type="noConversion"/>
  </si>
  <si>
    <t>B_60</t>
    <phoneticPr fontId="1" type="noConversion"/>
  </si>
  <si>
    <t>B_61</t>
    <phoneticPr fontId="1" type="noConversion"/>
  </si>
  <si>
    <t>B_62</t>
    <phoneticPr fontId="1" type="noConversion"/>
  </si>
  <si>
    <t>B_63</t>
    <phoneticPr fontId="1" type="noConversion"/>
  </si>
  <si>
    <t>B_64</t>
    <phoneticPr fontId="1" type="noConversion"/>
  </si>
  <si>
    <t>B_65</t>
    <phoneticPr fontId="1" type="noConversion"/>
  </si>
  <si>
    <t>B_66</t>
    <phoneticPr fontId="1" type="noConversion"/>
  </si>
  <si>
    <t>B_67</t>
    <phoneticPr fontId="1" type="noConversion"/>
  </si>
  <si>
    <t>B_68</t>
    <phoneticPr fontId="1" type="noConversion"/>
  </si>
  <si>
    <t>B_69</t>
    <phoneticPr fontId="1" type="noConversion"/>
  </si>
  <si>
    <t>B_70</t>
    <phoneticPr fontId="1" type="noConversion"/>
  </si>
  <si>
    <t>B_71</t>
    <phoneticPr fontId="1" type="noConversion"/>
  </si>
  <si>
    <t>B_72</t>
    <phoneticPr fontId="1" type="noConversion"/>
  </si>
  <si>
    <t>B_73</t>
    <phoneticPr fontId="1" type="noConversion"/>
  </si>
  <si>
    <t>B_74</t>
    <phoneticPr fontId="1" type="noConversion"/>
  </si>
  <si>
    <t>B_75</t>
    <phoneticPr fontId="1" type="noConversion"/>
  </si>
  <si>
    <t>B_76</t>
    <phoneticPr fontId="1" type="noConversion"/>
  </si>
  <si>
    <t>B_77</t>
    <phoneticPr fontId="1" type="noConversion"/>
  </si>
  <si>
    <t>B_78</t>
    <phoneticPr fontId="1" type="noConversion"/>
  </si>
  <si>
    <t>B_79</t>
    <phoneticPr fontId="1" type="noConversion"/>
  </si>
  <si>
    <t>B_80</t>
    <phoneticPr fontId="1" type="noConversion"/>
  </si>
  <si>
    <t>B_81</t>
    <phoneticPr fontId="1" type="noConversion"/>
  </si>
  <si>
    <t>B_82</t>
    <phoneticPr fontId="1" type="noConversion"/>
  </si>
  <si>
    <t>B_83</t>
    <phoneticPr fontId="1" type="noConversion"/>
  </si>
  <si>
    <t>B_84</t>
    <phoneticPr fontId="1" type="noConversion"/>
  </si>
  <si>
    <t>B_85</t>
    <phoneticPr fontId="1" type="noConversion"/>
  </si>
  <si>
    <t>B_86</t>
    <phoneticPr fontId="1" type="noConversion"/>
  </si>
  <si>
    <t>B_87</t>
    <phoneticPr fontId="1" type="noConversion"/>
  </si>
  <si>
    <t>B_88</t>
    <phoneticPr fontId="1" type="noConversion"/>
  </si>
  <si>
    <t>B_89</t>
    <phoneticPr fontId="1" type="noConversion"/>
  </si>
  <si>
    <t>B_90</t>
    <phoneticPr fontId="1" type="noConversion"/>
  </si>
  <si>
    <t>B_91</t>
    <phoneticPr fontId="1" type="noConversion"/>
  </si>
  <si>
    <t>B_92</t>
    <phoneticPr fontId="1" type="noConversion"/>
  </si>
  <si>
    <t>B_93</t>
    <phoneticPr fontId="1" type="noConversion"/>
  </si>
  <si>
    <t>B_94</t>
    <phoneticPr fontId="1" type="noConversion"/>
  </si>
  <si>
    <t>B_95</t>
    <phoneticPr fontId="1" type="noConversion"/>
  </si>
  <si>
    <t>B_96</t>
    <phoneticPr fontId="1" type="noConversion"/>
  </si>
  <si>
    <t>B_97</t>
    <phoneticPr fontId="1" type="noConversion"/>
  </si>
  <si>
    <t>B_98</t>
    <phoneticPr fontId="1" type="noConversion"/>
  </si>
  <si>
    <t>B_99</t>
    <phoneticPr fontId="1" type="noConversion"/>
  </si>
  <si>
    <t>B_100</t>
    <phoneticPr fontId="1" type="noConversion"/>
  </si>
  <si>
    <t>B_101</t>
    <phoneticPr fontId="1" type="noConversion"/>
  </si>
  <si>
    <t>B_102</t>
    <phoneticPr fontId="1" type="noConversion"/>
  </si>
  <si>
    <t>B_103</t>
    <phoneticPr fontId="1" type="noConversion"/>
  </si>
  <si>
    <t>B_104</t>
    <phoneticPr fontId="1" type="noConversion"/>
  </si>
  <si>
    <t>B_105</t>
    <phoneticPr fontId="1" type="noConversion"/>
  </si>
  <si>
    <t>B_106</t>
    <phoneticPr fontId="1" type="noConversion"/>
  </si>
  <si>
    <t>B_107</t>
    <phoneticPr fontId="1" type="noConversion"/>
  </si>
  <si>
    <t>B_108</t>
    <phoneticPr fontId="1" type="noConversion"/>
  </si>
  <si>
    <t>B_109</t>
    <phoneticPr fontId="1" type="noConversion"/>
  </si>
  <si>
    <t>B_110</t>
    <phoneticPr fontId="1" type="noConversion"/>
  </si>
  <si>
    <t>B_111</t>
    <phoneticPr fontId="1" type="noConversion"/>
  </si>
  <si>
    <t>B_112</t>
    <phoneticPr fontId="1" type="noConversion"/>
  </si>
  <si>
    <t>B_113</t>
    <phoneticPr fontId="1" type="noConversion"/>
  </si>
  <si>
    <t>B_114</t>
    <phoneticPr fontId="1" type="noConversion"/>
  </si>
  <si>
    <t>B_115</t>
    <phoneticPr fontId="1" type="noConversion"/>
  </si>
  <si>
    <t>B_116</t>
    <phoneticPr fontId="1" type="noConversion"/>
  </si>
  <si>
    <t>B_117</t>
    <phoneticPr fontId="1" type="noConversion"/>
  </si>
  <si>
    <t>B_118</t>
    <phoneticPr fontId="1" type="noConversion"/>
  </si>
  <si>
    <t>B_119</t>
    <phoneticPr fontId="1" type="noConversion"/>
  </si>
  <si>
    <t>B_120</t>
    <phoneticPr fontId="1" type="noConversion"/>
  </si>
  <si>
    <t>GND</t>
    <phoneticPr fontId="1" type="noConversion"/>
  </si>
  <si>
    <t>MMC2_DAT2</t>
  </si>
  <si>
    <t>MMC2_DAT3</t>
    <phoneticPr fontId="1" type="noConversion"/>
  </si>
  <si>
    <t>3.3V</t>
    <phoneticPr fontId="1" type="noConversion"/>
  </si>
  <si>
    <t>T23</t>
    <phoneticPr fontId="1" type="noConversion"/>
  </si>
  <si>
    <t>R22</t>
    <phoneticPr fontId="1" type="noConversion"/>
  </si>
  <si>
    <t>U23</t>
    <phoneticPr fontId="1" type="noConversion"/>
  </si>
  <si>
    <t>R23</t>
    <phoneticPr fontId="1" type="noConversion"/>
  </si>
  <si>
    <t>MMC2_DAT0</t>
  </si>
  <si>
    <t>MMC2_DAT1</t>
    <phoneticPr fontId="1" type="noConversion"/>
  </si>
  <si>
    <t>RGMII1_RSTn</t>
    <phoneticPr fontId="1" type="noConversion"/>
  </si>
  <si>
    <t>RGMII2_RSTn</t>
    <phoneticPr fontId="1" type="noConversion"/>
  </si>
  <si>
    <t>U22</t>
    <phoneticPr fontId="1" type="noConversion"/>
  </si>
  <si>
    <t>T22</t>
    <phoneticPr fontId="1" type="noConversion"/>
  </si>
  <si>
    <t>T20</t>
    <phoneticPr fontId="1" type="noConversion"/>
  </si>
  <si>
    <t>T21</t>
    <phoneticPr fontId="1" type="noConversion"/>
  </si>
  <si>
    <t>ADC0_AIN0</t>
    <phoneticPr fontId="1" type="noConversion"/>
  </si>
  <si>
    <t>1.8V</t>
  </si>
  <si>
    <t>1.8V</t>
    <phoneticPr fontId="1" type="noConversion"/>
  </si>
  <si>
    <t>V20</t>
    <phoneticPr fontId="1" type="noConversion"/>
  </si>
  <si>
    <t>ADC0_AIN1</t>
  </si>
  <si>
    <t>V22</t>
    <phoneticPr fontId="1" type="noConversion"/>
  </si>
  <si>
    <t>ADC0_AIN2</t>
  </si>
  <si>
    <t>ADC0_AIN3</t>
  </si>
  <si>
    <t>V23</t>
    <phoneticPr fontId="1" type="noConversion"/>
  </si>
  <si>
    <t>V21</t>
    <phoneticPr fontId="1" type="noConversion"/>
  </si>
  <si>
    <t>WKUP_GPIO0_6</t>
  </si>
  <si>
    <t>WKUP_GPIO0_3</t>
  </si>
  <si>
    <t>WKUP_UART0_TXD</t>
  </si>
  <si>
    <t>WKUP_UART0_RXD</t>
  </si>
  <si>
    <t>Y23</t>
    <phoneticPr fontId="1" type="noConversion"/>
  </si>
  <si>
    <t>W22</t>
    <phoneticPr fontId="1" type="noConversion"/>
  </si>
  <si>
    <t>AA23</t>
    <phoneticPr fontId="1" type="noConversion"/>
  </si>
  <si>
    <t>Y22</t>
    <phoneticPr fontId="1" type="noConversion"/>
  </si>
  <si>
    <t>TCK</t>
  </si>
  <si>
    <t>TDI</t>
  </si>
  <si>
    <t>TRSTN</t>
  </si>
  <si>
    <t>TDO</t>
  </si>
  <si>
    <t>TMS</t>
  </si>
  <si>
    <t>EMU1</t>
  </si>
  <si>
    <t>EMU0</t>
  </si>
  <si>
    <t>AB14</t>
    <phoneticPr fontId="1" type="noConversion"/>
  </si>
  <si>
    <t>AC16</t>
    <phoneticPr fontId="1" type="noConversion"/>
  </si>
  <si>
    <t>AB16</t>
    <phoneticPr fontId="1" type="noConversion"/>
  </si>
  <si>
    <t>AB15</t>
    <phoneticPr fontId="1" type="noConversion"/>
  </si>
  <si>
    <t>Y17</t>
    <phoneticPr fontId="1" type="noConversion"/>
  </si>
  <si>
    <t>AA16</t>
    <phoneticPr fontId="1" type="noConversion"/>
  </si>
  <si>
    <t>Y16</t>
    <phoneticPr fontId="1" type="noConversion"/>
  </si>
  <si>
    <t>MMC1_DAT2</t>
  </si>
  <si>
    <t>MMC1_DAT3</t>
  </si>
  <si>
    <t>MMC1_CMD</t>
  </si>
  <si>
    <t>MMC1_CLK</t>
  </si>
  <si>
    <t>MMC1_DAT0</t>
  </si>
  <si>
    <t>MMC1_DAT1</t>
  </si>
  <si>
    <t>MMC1_SDCD</t>
  </si>
  <si>
    <t>OTG_ID</t>
  </si>
  <si>
    <t>1.8V/3.3V</t>
    <phoneticPr fontId="1" type="noConversion"/>
  </si>
  <si>
    <t>3.3V</t>
    <phoneticPr fontId="1" type="noConversion"/>
  </si>
  <si>
    <t>AA2</t>
    <phoneticPr fontId="1" type="noConversion"/>
  </si>
  <si>
    <t>AB2</t>
    <phoneticPr fontId="1" type="noConversion"/>
  </si>
  <si>
    <t>Y3</t>
    <phoneticPr fontId="1" type="noConversion"/>
  </si>
  <si>
    <t>Y2</t>
    <phoneticPr fontId="1" type="noConversion"/>
  </si>
  <si>
    <t>AA1</t>
    <phoneticPr fontId="1" type="noConversion"/>
  </si>
  <si>
    <t>Y4</t>
    <phoneticPr fontId="1" type="noConversion"/>
  </si>
  <si>
    <t>B6</t>
    <phoneticPr fontId="1" type="noConversion"/>
  </si>
  <si>
    <t>D6</t>
    <phoneticPr fontId="1" type="noConversion"/>
  </si>
  <si>
    <t>\</t>
    <phoneticPr fontId="1" type="noConversion"/>
  </si>
  <si>
    <t>VCC_3V3_SYS_EN</t>
  </si>
  <si>
    <t>DEBOUNCE_SOC_PORz_PB</t>
  </si>
  <si>
    <t>AB18</t>
    <phoneticPr fontId="1" type="noConversion"/>
  </si>
  <si>
    <t>DEBOUNCE_SOC_RESETz</t>
  </si>
  <si>
    <t>E16</t>
    <phoneticPr fontId="1" type="noConversion"/>
  </si>
  <si>
    <t>RESETSTATz</t>
  </si>
  <si>
    <t>C16</t>
    <phoneticPr fontId="1" type="noConversion"/>
  </si>
  <si>
    <t>JTAG_EMU_RSTn</t>
  </si>
  <si>
    <t>VCC_3V3_MAIN</t>
  </si>
  <si>
    <t>3.3V</t>
  </si>
  <si>
    <t>VDDSHV_SD_IO</t>
  </si>
  <si>
    <t>T10</t>
    <phoneticPr fontId="1" type="noConversion"/>
  </si>
  <si>
    <t>nWAKEUP</t>
  </si>
  <si>
    <t>AB19/AB20</t>
    <phoneticPr fontId="1" type="noConversion"/>
  </si>
  <si>
    <t>USB0_DRVVBUS</t>
  </si>
  <si>
    <t>USB0_VBUS</t>
  </si>
  <si>
    <t>C6</t>
    <phoneticPr fontId="1" type="noConversion"/>
  </si>
  <si>
    <t>AC3</t>
    <phoneticPr fontId="1" type="noConversion"/>
  </si>
  <si>
    <t>USB0_D_N</t>
  </si>
  <si>
    <t>USB0_D_P</t>
  </si>
  <si>
    <t>AC4</t>
    <phoneticPr fontId="1" type="noConversion"/>
  </si>
  <si>
    <t>AB4</t>
    <phoneticPr fontId="1" type="noConversion"/>
  </si>
  <si>
    <t>USB1_DRVVBUS</t>
  </si>
  <si>
    <t>A5</t>
    <phoneticPr fontId="1" type="noConversion"/>
  </si>
  <si>
    <t>USB1_VBUS</t>
  </si>
  <si>
    <t>AB6</t>
    <phoneticPr fontId="1" type="noConversion"/>
  </si>
  <si>
    <t>USB1_D_N</t>
  </si>
  <si>
    <t>USB1_D_P</t>
  </si>
  <si>
    <t>AC5</t>
    <phoneticPr fontId="1" type="noConversion"/>
  </si>
  <si>
    <t>AB5</t>
    <phoneticPr fontId="1" type="noConversion"/>
  </si>
  <si>
    <t>HP_DETECT</t>
  </si>
  <si>
    <t>D16</t>
    <phoneticPr fontId="1" type="noConversion"/>
  </si>
  <si>
    <t>RGMII2_RD0</t>
  </si>
  <si>
    <t>RGMII2_RD1</t>
  </si>
  <si>
    <t>RGMII2_RD2</t>
  </si>
  <si>
    <t>RGMII2_RD3</t>
  </si>
  <si>
    <t>RGMII2_RXC</t>
    <phoneticPr fontId="1" type="noConversion"/>
  </si>
  <si>
    <t>RGMII2_RX_CTL</t>
    <phoneticPr fontId="1" type="noConversion"/>
  </si>
  <si>
    <t>AC7</t>
    <phoneticPr fontId="1" type="noConversion"/>
  </si>
  <si>
    <t>AC8</t>
    <phoneticPr fontId="1" type="noConversion"/>
  </si>
  <si>
    <t>AB9</t>
    <phoneticPr fontId="1" type="noConversion"/>
  </si>
  <si>
    <t>AC9</t>
    <phoneticPr fontId="1" type="noConversion"/>
  </si>
  <si>
    <t>AB10</t>
    <phoneticPr fontId="1" type="noConversion"/>
  </si>
  <si>
    <t>AB8</t>
    <phoneticPr fontId="1" type="noConversion"/>
  </si>
  <si>
    <t>RGMII2_TX_CTL</t>
  </si>
  <si>
    <t>RGMII2_TD0</t>
  </si>
  <si>
    <t>RGMII2_TD1</t>
  </si>
  <si>
    <t>RGMII2_TD2</t>
  </si>
  <si>
    <t>RGMII2_TD3</t>
  </si>
  <si>
    <t>RGMII2_TXC</t>
    <phoneticPr fontId="1" type="noConversion"/>
  </si>
  <si>
    <t>Y13</t>
    <phoneticPr fontId="1" type="noConversion"/>
  </si>
  <si>
    <t>AB12</t>
    <phoneticPr fontId="1" type="noConversion"/>
  </si>
  <si>
    <t>AC12</t>
    <phoneticPr fontId="1" type="noConversion"/>
  </si>
  <si>
    <t>AB13</t>
    <phoneticPr fontId="1" type="noConversion"/>
  </si>
  <si>
    <t>AA12</t>
    <phoneticPr fontId="1" type="noConversion"/>
  </si>
  <si>
    <t>AA13</t>
    <phoneticPr fontId="1" type="noConversion"/>
  </si>
  <si>
    <t>RGMII1_RXC</t>
  </si>
  <si>
    <t>RGMII1_RX_CTL</t>
  </si>
  <si>
    <t>RGMII1_RD0</t>
  </si>
  <si>
    <t>RGMII1_RD1</t>
  </si>
  <si>
    <t>RGMII1_RD2</t>
  </si>
  <si>
    <t>RGMII1_RD3</t>
  </si>
  <si>
    <t>Y7</t>
    <phoneticPr fontId="1" type="noConversion"/>
  </si>
  <si>
    <t>Y6</t>
    <phoneticPr fontId="1" type="noConversion"/>
  </si>
  <si>
    <t>Y8</t>
    <phoneticPr fontId="1" type="noConversion"/>
  </si>
  <si>
    <t>AA6</t>
    <phoneticPr fontId="1" type="noConversion"/>
  </si>
  <si>
    <t>AA8</t>
    <phoneticPr fontId="1" type="noConversion"/>
  </si>
  <si>
    <t>W8</t>
    <phoneticPr fontId="1" type="noConversion"/>
  </si>
  <si>
    <t>RGMII1_TX_CTL</t>
  </si>
  <si>
    <t>RGMII1_TD0</t>
  </si>
  <si>
    <t>RGMII1_TD1</t>
  </si>
  <si>
    <t>RGMII1_TD2</t>
  </si>
  <si>
    <t>RGMII1_TD3</t>
  </si>
  <si>
    <t>MDIO0_MDIO</t>
  </si>
  <si>
    <t>MDIO0_MDC</t>
  </si>
  <si>
    <t>RGMII1_TXC</t>
    <phoneticPr fontId="1" type="noConversion"/>
  </si>
  <si>
    <t>W11</t>
    <phoneticPr fontId="1" type="noConversion"/>
  </si>
  <si>
    <t>AB11</t>
    <phoneticPr fontId="1" type="noConversion"/>
  </si>
  <si>
    <t>AC10</t>
    <phoneticPr fontId="1" type="noConversion"/>
  </si>
  <si>
    <t>W13</t>
    <phoneticPr fontId="1" type="noConversion"/>
  </si>
  <si>
    <t>Y11</t>
    <phoneticPr fontId="1" type="noConversion"/>
  </si>
  <si>
    <t>AA11</t>
    <phoneticPr fontId="1" type="noConversion"/>
  </si>
  <si>
    <t>AC13</t>
    <phoneticPr fontId="1" type="noConversion"/>
  </si>
  <si>
    <t>AC15</t>
    <phoneticPr fontId="1" type="noConversion"/>
  </si>
  <si>
    <t>DSI0_TXP3</t>
  </si>
  <si>
    <t>DSI0_TXN2</t>
  </si>
  <si>
    <t>DSI0_TXP2</t>
  </si>
  <si>
    <t>DSI0_TXN1</t>
  </si>
  <si>
    <t>DSI0_TXP1</t>
  </si>
  <si>
    <t>DSI0_TXN0</t>
  </si>
  <si>
    <t>DSI0_TXP0</t>
  </si>
  <si>
    <t>DSI0_TXCLKN</t>
  </si>
  <si>
    <t>DSI0_TXCLKP</t>
  </si>
  <si>
    <t>B22</t>
    <phoneticPr fontId="1" type="noConversion"/>
  </si>
  <si>
    <t>B21</t>
    <phoneticPr fontId="1" type="noConversion"/>
  </si>
  <si>
    <t>A20</t>
    <phoneticPr fontId="1" type="noConversion"/>
  </si>
  <si>
    <t>A21</t>
    <phoneticPr fontId="1" type="noConversion"/>
  </si>
  <si>
    <t>A18</t>
    <phoneticPr fontId="1" type="noConversion"/>
  </si>
  <si>
    <t>A17</t>
    <phoneticPr fontId="1" type="noConversion"/>
  </si>
  <si>
    <t>B19</t>
    <phoneticPr fontId="1" type="noConversion"/>
  </si>
  <si>
    <t>B18</t>
    <phoneticPr fontId="1" type="noConversion"/>
  </si>
  <si>
    <t>A15</t>
    <phoneticPr fontId="1" type="noConversion"/>
  </si>
  <si>
    <t>A14</t>
    <phoneticPr fontId="1" type="noConversion"/>
  </si>
  <si>
    <t>AUDIO_CTRL_1V8</t>
  </si>
  <si>
    <t>DSI0_RST_L_1V8</t>
  </si>
  <si>
    <t>DSI0_INT_L_1V8</t>
  </si>
  <si>
    <t>DSI0_RESET</t>
  </si>
  <si>
    <t>LCD_CT_RST_1V8</t>
  </si>
  <si>
    <t>LCD_CT_INT_1V8</t>
  </si>
  <si>
    <t>KEY</t>
  </si>
  <si>
    <t>GPIO0_3</t>
  </si>
  <si>
    <t>GPIO0_0</t>
  </si>
  <si>
    <t>F20</t>
    <phoneticPr fontId="1" type="noConversion"/>
  </si>
  <si>
    <t>G20</t>
    <phoneticPr fontId="1" type="noConversion"/>
  </si>
  <si>
    <t>F19</t>
    <phoneticPr fontId="1" type="noConversion"/>
  </si>
  <si>
    <t>F21</t>
    <phoneticPr fontId="1" type="noConversion"/>
  </si>
  <si>
    <t>D23</t>
    <phoneticPr fontId="1" type="noConversion"/>
  </si>
  <si>
    <t>E23</t>
    <phoneticPr fontId="1" type="noConversion"/>
  </si>
  <si>
    <t>D21</t>
    <phoneticPr fontId="1" type="noConversion"/>
  </si>
  <si>
    <t>C22</t>
    <phoneticPr fontId="1" type="noConversion"/>
  </si>
  <si>
    <t>D22</t>
    <phoneticPr fontId="1" type="noConversion"/>
  </si>
  <si>
    <t>GPIO0_2</t>
  </si>
  <si>
    <t>GPIO0_14</t>
  </si>
  <si>
    <t>LED0</t>
  </si>
  <si>
    <t>GPIO0_12</t>
  </si>
  <si>
    <t>GPIO0_13</t>
  </si>
  <si>
    <t>GPIO0_1</t>
  </si>
  <si>
    <t>E22</t>
    <phoneticPr fontId="1" type="noConversion"/>
  </si>
  <si>
    <t>C23</t>
    <phoneticPr fontId="1" type="noConversion"/>
  </si>
  <si>
    <t>C20</t>
    <phoneticPr fontId="1" type="noConversion"/>
  </si>
  <si>
    <t>D20</t>
    <phoneticPr fontId="1" type="noConversion"/>
  </si>
  <si>
    <t>D18</t>
    <phoneticPr fontId="1" type="noConversion"/>
  </si>
  <si>
    <t>E18</t>
    <phoneticPr fontId="1" type="noConversion"/>
  </si>
  <si>
    <t>MCAN0_TX</t>
  </si>
  <si>
    <t>MCAN0_RX</t>
  </si>
  <si>
    <t>MCAN2_RX</t>
  </si>
  <si>
    <t>MCAN2_TX</t>
  </si>
  <si>
    <t>UART0_TXD</t>
  </si>
  <si>
    <t>UART0_RXD</t>
  </si>
  <si>
    <t>SPI0_CLK</t>
  </si>
  <si>
    <t>SPI0_D0</t>
  </si>
  <si>
    <t>SPI0_D1</t>
  </si>
  <si>
    <t>SPI0_CS0</t>
  </si>
  <si>
    <t>EHRPWM0_B</t>
  </si>
  <si>
    <t>B16</t>
    <phoneticPr fontId="1" type="noConversion"/>
  </si>
  <si>
    <t>B15</t>
    <phoneticPr fontId="1" type="noConversion"/>
  </si>
  <si>
    <t>B14</t>
    <phoneticPr fontId="1" type="noConversion"/>
  </si>
  <si>
    <t>B13</t>
    <phoneticPr fontId="1" type="noConversion"/>
  </si>
  <si>
    <t>C13</t>
    <phoneticPr fontId="1" type="noConversion"/>
  </si>
  <si>
    <t>D13</t>
    <phoneticPr fontId="1" type="noConversion"/>
  </si>
  <si>
    <t>E13</t>
    <phoneticPr fontId="1" type="noConversion"/>
  </si>
  <si>
    <t>E12</t>
    <phoneticPr fontId="1" type="noConversion"/>
  </si>
  <si>
    <t>B12</t>
    <phoneticPr fontId="1" type="noConversion"/>
  </si>
  <si>
    <t>E11</t>
    <phoneticPr fontId="1" type="noConversion"/>
  </si>
  <si>
    <t>D11</t>
    <phoneticPr fontId="1" type="noConversion"/>
  </si>
  <si>
    <t>I2C2_SCL</t>
  </si>
  <si>
    <t>I2C2_SDA</t>
  </si>
  <si>
    <t>I2C1_SCL</t>
  </si>
  <si>
    <t>I2C1_SDA</t>
  </si>
  <si>
    <t>I2C0_SCL</t>
  </si>
  <si>
    <t>I2C0_SDA</t>
  </si>
  <si>
    <t>A7</t>
    <phoneticPr fontId="1" type="noConversion"/>
  </si>
  <si>
    <t>B7</t>
    <phoneticPr fontId="1" type="noConversion"/>
  </si>
  <si>
    <t>A6</t>
    <phoneticPr fontId="1" type="noConversion"/>
  </si>
  <si>
    <t>D7</t>
    <phoneticPr fontId="1" type="noConversion"/>
  </si>
  <si>
    <t>D8</t>
    <phoneticPr fontId="1" type="noConversion"/>
  </si>
  <si>
    <t>B8</t>
    <phoneticPr fontId="1" type="noConversion"/>
  </si>
  <si>
    <t>UART1_RXD</t>
  </si>
  <si>
    <t>UART1_TXD</t>
    <phoneticPr fontId="1" type="noConversion"/>
  </si>
  <si>
    <t>MCASP0_AFSX</t>
  </si>
  <si>
    <t>MCASP0_ACLKX</t>
  </si>
  <si>
    <t>MCASP0_AXR3</t>
  </si>
  <si>
    <t>MCASP0_AXR2</t>
  </si>
  <si>
    <t>EHRPWM1_A</t>
  </si>
  <si>
    <t>EHRPWM1_B</t>
  </si>
  <si>
    <t>C11</t>
    <phoneticPr fontId="1" type="noConversion"/>
  </si>
  <si>
    <t>A12</t>
    <phoneticPr fontId="1" type="noConversion"/>
  </si>
  <si>
    <t>B11</t>
    <phoneticPr fontId="1" type="noConversion"/>
  </si>
  <si>
    <t>A11</t>
    <phoneticPr fontId="1" type="noConversion"/>
  </si>
  <si>
    <t>A8</t>
    <phoneticPr fontId="1" type="noConversion"/>
  </si>
  <si>
    <t>B10</t>
    <phoneticPr fontId="1" type="noConversion"/>
  </si>
  <si>
    <t>A9</t>
    <phoneticPr fontId="1" type="noConversion"/>
  </si>
  <si>
    <t>B9</t>
    <phoneticPr fontId="1" type="noConversion"/>
  </si>
  <si>
    <t>VOUT0_DE</t>
  </si>
  <si>
    <t>VOUT0_VSYNC</t>
  </si>
  <si>
    <t>VOUT0_HSYNC</t>
  </si>
  <si>
    <t>VOUT0_PCLK</t>
  </si>
  <si>
    <t>M21</t>
    <phoneticPr fontId="1" type="noConversion"/>
  </si>
  <si>
    <t>L20</t>
    <phoneticPr fontId="1" type="noConversion"/>
  </si>
  <si>
    <t>N21</t>
    <phoneticPr fontId="1" type="noConversion"/>
  </si>
  <si>
    <t>L19</t>
    <phoneticPr fontId="1" type="noConversion"/>
  </si>
  <si>
    <t>VOUT0_DATA7</t>
  </si>
  <si>
    <t>VOUT0_DATA6</t>
  </si>
  <si>
    <t>VOUT0_DATA5</t>
  </si>
  <si>
    <t>VOUT0_DATA4</t>
  </si>
  <si>
    <t>VOUT0_DATA3</t>
  </si>
  <si>
    <t>VOUT0_DATA2</t>
  </si>
  <si>
    <t>VOUT0_DATA1</t>
  </si>
  <si>
    <t>VOUT0_DATA0</t>
  </si>
  <si>
    <t>VOUT0_DATA15</t>
  </si>
  <si>
    <t>VOUT0_DATA14</t>
  </si>
  <si>
    <t>VOUT0_DATA13</t>
  </si>
  <si>
    <t>VOUT0_DATA12</t>
  </si>
  <si>
    <t>VOUT0_DATA11</t>
  </si>
  <si>
    <t>VOUT0_DATA10</t>
  </si>
  <si>
    <t>VOUT0_DATA9</t>
  </si>
  <si>
    <t>VOUT0_DATA8</t>
  </si>
  <si>
    <t>L22</t>
    <phoneticPr fontId="1" type="noConversion"/>
  </si>
  <si>
    <t>L23</t>
    <phoneticPr fontId="1" type="noConversion"/>
  </si>
  <si>
    <t>K22</t>
    <phoneticPr fontId="1" type="noConversion"/>
  </si>
  <si>
    <t>J23</t>
    <phoneticPr fontId="1" type="noConversion"/>
  </si>
  <si>
    <t>K23</t>
    <phoneticPr fontId="1" type="noConversion"/>
  </si>
  <si>
    <t>H22</t>
    <phoneticPr fontId="1" type="noConversion"/>
  </si>
  <si>
    <t>H23</t>
    <phoneticPr fontId="1" type="noConversion"/>
  </si>
  <si>
    <t>J22</t>
    <phoneticPr fontId="1" type="noConversion"/>
  </si>
  <si>
    <t>F23</t>
    <phoneticPr fontId="1" type="noConversion"/>
  </si>
  <si>
    <t>G22</t>
    <phoneticPr fontId="1" type="noConversion"/>
  </si>
  <si>
    <t>F22</t>
    <phoneticPr fontId="1" type="noConversion"/>
  </si>
  <si>
    <t>G23</t>
    <phoneticPr fontId="1" type="noConversion"/>
  </si>
  <si>
    <t>H18</t>
    <phoneticPr fontId="1" type="noConversion"/>
  </si>
  <si>
    <t>H21</t>
    <phoneticPr fontId="1" type="noConversion"/>
  </si>
  <si>
    <t>H20</t>
    <phoneticPr fontId="1" type="noConversion"/>
  </si>
  <si>
    <t>H19</t>
    <phoneticPr fontId="1" type="noConversion"/>
  </si>
  <si>
    <t>VOUT0_DATA23</t>
  </si>
  <si>
    <t>VOUT0_DATA22</t>
  </si>
  <si>
    <t>VOUT0_DATA21</t>
  </si>
  <si>
    <t>VOUT0_DATA20</t>
  </si>
  <si>
    <t>VOUT0_DATA19</t>
  </si>
  <si>
    <t>VOUT0_DATA18</t>
  </si>
  <si>
    <t>VOUT0_DATA17</t>
  </si>
  <si>
    <t>VOUT0_DATA16</t>
  </si>
  <si>
    <t>UART4_TXD</t>
  </si>
  <si>
    <t>UART4_RXD</t>
  </si>
  <si>
    <t>M23</t>
    <phoneticPr fontId="1" type="noConversion"/>
  </si>
  <si>
    <t>M22</t>
    <phoneticPr fontId="1" type="noConversion"/>
  </si>
  <si>
    <t>L21</t>
    <phoneticPr fontId="1" type="noConversion"/>
  </si>
  <si>
    <t>N19</t>
    <phoneticPr fontId="1" type="noConversion"/>
  </si>
  <si>
    <t>N22</t>
    <phoneticPr fontId="1" type="noConversion"/>
  </si>
  <si>
    <t>N23</t>
    <phoneticPr fontId="1" type="noConversion"/>
  </si>
  <si>
    <t>P22</t>
    <phoneticPr fontId="1" type="noConversion"/>
  </si>
  <si>
    <t>P23</t>
    <phoneticPr fontId="1" type="noConversion"/>
  </si>
  <si>
    <t>M19</t>
    <phoneticPr fontId="1" type="noConversion"/>
  </si>
  <si>
    <t>N20</t>
    <phoneticPr fontId="1" type="noConversion"/>
  </si>
  <si>
    <t>MMC2_DAT2\MCASP1_AXR2\UART5_TXD\GPIO0_46</t>
    <phoneticPr fontId="1" type="noConversion"/>
  </si>
  <si>
    <t>MMC2_DAT3\MCASP1_AXR3\UART5_RXD\GPIO0_45</t>
    <phoneticPr fontId="1" type="noConversion"/>
  </si>
  <si>
    <t>MMC2_CMD\MCASP1_AFSR\MCASP1_AXR4\UART6_TXD\GPIO0_50</t>
    <phoneticPr fontId="1" type="noConversion"/>
  </si>
  <si>
    <t>MMC2_CLK\MCASP1_ACLKR\MCASP1_AXR5\UART6_RXD\GPIO0_49</t>
    <phoneticPr fontId="1" type="noConversion"/>
  </si>
  <si>
    <t>MMC2_DAT0\MCASP1_AXR0\GPIO0_48</t>
    <phoneticPr fontId="1" type="noConversion"/>
  </si>
  <si>
    <t>MMC2_DAT1\MCASP1_AXR1\GPIO0_47</t>
    <phoneticPr fontId="1" type="noConversion"/>
  </si>
  <si>
    <t>MMC2_SDCD\MCASP1_ACLKX\UART4_RXD\GPIO0_51</t>
    <phoneticPr fontId="1" type="noConversion"/>
  </si>
  <si>
    <t>MMC2_SDWP\MCASP1_AFSX\UART4_TXD\GPIO0_52</t>
    <phoneticPr fontId="1" type="noConversion"/>
  </si>
  <si>
    <t>ADC0_AIN0</t>
    <phoneticPr fontId="1" type="noConversion"/>
  </si>
  <si>
    <t>ADC0_AIN1</t>
    <phoneticPr fontId="1" type="noConversion"/>
  </si>
  <si>
    <t>ADC0_AIN2</t>
    <phoneticPr fontId="1" type="noConversion"/>
  </si>
  <si>
    <t>ADC0_AIN3</t>
    <phoneticPr fontId="1" type="noConversion"/>
  </si>
  <si>
    <t>WKUP_CLKOUT0\WKUP_GPIO0_6</t>
    <phoneticPr fontId="1" type="noConversion"/>
  </si>
  <si>
    <t>WKUP_UART0_RTSn\WKUP_TIMER_IO1\WKUP_EXT_REFCLK0\WKUP_GPIO0_3</t>
    <phoneticPr fontId="1" type="noConversion"/>
  </si>
  <si>
    <t>WKUP_UART0_TXD\WKUP_GPIO0_1</t>
    <phoneticPr fontId="1" type="noConversion"/>
  </si>
  <si>
    <t>WKUP_UART0_RXD\WKUP_GPIO0_0</t>
    <phoneticPr fontId="1" type="noConversion"/>
  </si>
  <si>
    <t>TCK</t>
    <phoneticPr fontId="1" type="noConversion"/>
  </si>
  <si>
    <t>TDI</t>
    <phoneticPr fontId="1" type="noConversion"/>
  </si>
  <si>
    <t>TRSTN</t>
    <phoneticPr fontId="1" type="noConversion"/>
  </si>
  <si>
    <t>TDO</t>
    <phoneticPr fontId="1" type="noConversion"/>
  </si>
  <si>
    <t>TMS</t>
    <phoneticPr fontId="1" type="noConversion"/>
  </si>
  <si>
    <t>EMU1</t>
    <phoneticPr fontId="1" type="noConversion"/>
  </si>
  <si>
    <t>EMU0</t>
    <phoneticPr fontId="1" type="noConversion"/>
  </si>
  <si>
    <t>MMC1_DAT2\CP_GEMAC_CPTS0_TS_SYNC\TIMER_IO1\UART2_TXD\MCAN1_TX\SPI3_D1\SPI2_CS3\GPIO0_117</t>
    <phoneticPr fontId="1" type="noConversion"/>
  </si>
  <si>
    <t>MMC1_DAT3\CP_GEMAC_CPTS0_TS_COMP\TIMER_IO0\UART2_RXD\MCAN1_RX\SPI3_D0\SPI2_CS1\GPIO0_116</t>
    <phoneticPr fontId="1" type="noConversion"/>
  </si>
  <si>
    <t>MMC1_CMD\TIMER_IO1\UART3_TXD\SPI3_CLK\SPI2_CS0\GPIO0_121</t>
    <phoneticPr fontId="1" type="noConversion"/>
  </si>
  <si>
    <t>MMC1_CLK\TIMER_IO0\UART3_RXD\SPI3_CS0\SPI2_CS2\GPIO0_120</t>
    <phoneticPr fontId="1" type="noConversion"/>
  </si>
  <si>
    <t>MMC1_DAT0\CP_GEMAC_CPTS0_HW2TSPUSH\TIMER_IO3\UART2_CTSn\ECAP2_IN_APWM_OUT\SPI2_D1\GPIO0_119</t>
    <phoneticPr fontId="1" type="noConversion"/>
  </si>
  <si>
    <t>MMC1_DAT1\CP_GEMAC_CPTS0_HW1TSPUSH\TIMER_IO2\UART2_RTSn\ECAP1_IN_APWM_OUT\SPI3_CS2\SPI2_D0\GPIO0_118</t>
    <phoneticPr fontId="1" type="noConversion"/>
  </si>
  <si>
    <t>MMC1_SDCD\UART6_RXD\TIMER_IO2\UART3_RTSn\MCAN2_RX\SPI3_CS3\SPI2_CLK\GPIO0_122</t>
    <phoneticPr fontId="1" type="noConversion"/>
  </si>
  <si>
    <t>MMC1_SDWP\UART6_TXD\TIMER_IO3\UART3_CTSn\MCAN2_TX\SPI3_CS1\GPIO0_123</t>
    <phoneticPr fontId="1" type="noConversion"/>
  </si>
  <si>
    <t>PORz</t>
    <phoneticPr fontId="1" type="noConversion"/>
  </si>
  <si>
    <t>RESETz</t>
    <phoneticPr fontId="1" type="noConversion"/>
  </si>
  <si>
    <t>RESETSTATz</t>
    <phoneticPr fontId="1" type="noConversion"/>
  </si>
  <si>
    <t>EXT_WAKEUP0</t>
    <phoneticPr fontId="1" type="noConversion"/>
  </si>
  <si>
    <t>USB0_DRVVBUS\GPIO0_124</t>
    <phoneticPr fontId="1" type="noConversion"/>
  </si>
  <si>
    <t>USB0_VBUS</t>
    <phoneticPr fontId="1" type="noConversion"/>
  </si>
  <si>
    <t>USB0_DM</t>
    <phoneticPr fontId="1" type="noConversion"/>
  </si>
  <si>
    <t>USB0_DP</t>
    <phoneticPr fontId="1" type="noConversion"/>
  </si>
  <si>
    <t>USB1_DRVVBUS\GPIO0_125</t>
    <phoneticPr fontId="1" type="noConversion"/>
  </si>
  <si>
    <t>USB1_VBUS</t>
    <phoneticPr fontId="1" type="noConversion"/>
  </si>
  <si>
    <t>USB1_DM</t>
    <phoneticPr fontId="1" type="noConversion"/>
  </si>
  <si>
    <t>USB1_DP</t>
    <phoneticPr fontId="1" type="noConversion"/>
  </si>
  <si>
    <t>EXT_REFCLK1\SYNC1_OUT\SPI2_CS3\TIMER_IO0\CLKOUT0\CP_GEMAC_CPTS0_RFT_CLK\GPIO0_104\ECAP0_IN_APWM_OUT\ADC_EXT_TRIGGER0</t>
    <phoneticPr fontId="1" type="noConversion"/>
  </si>
  <si>
    <t>RGMII2_RXC\RMII2_REF_CLK\MCASP2_AXR1\GPIO0_74</t>
    <phoneticPr fontId="1" type="noConversion"/>
  </si>
  <si>
    <t>RGMII2_RX_CTL\RMII2_RX_ER\MCASP2_AXR3\GPIO0_73</t>
    <phoneticPr fontId="1" type="noConversion"/>
  </si>
  <si>
    <t>RGMII2_RD0\RMII2_RXD0\MCASP2_AXR2\GPIO0_75</t>
    <phoneticPr fontId="1" type="noConversion"/>
  </si>
  <si>
    <t>RGMII2_RD1\RMII2_RXD1\MCASP2_AFSR\MCASP2_AXR7\GPIO0_76</t>
    <phoneticPr fontId="1" type="noConversion"/>
  </si>
  <si>
    <t>RGMII2_RD2\GPMC0_A3\MCASP2_AXR0\SPI3_CLK\GPIO0_77\EQEP2_A</t>
    <phoneticPr fontId="1" type="noConversion"/>
  </si>
  <si>
    <t>RGMII2_RD3\GPMC0_A4\AUDIO_EXT_REFCLK0\SPI3_CS0\GPIO0_78\EQEP2_B</t>
    <phoneticPr fontId="1" type="noConversion"/>
  </si>
  <si>
    <t>RGMII2_TXC\RMII2_CRS_DV\MCASP2_AXR5\GPIO0_68</t>
    <phoneticPr fontId="1" type="noConversion"/>
  </si>
  <si>
    <t>RGMII2_TX_CTL\RMII2_TX_EN\MCASP2_AXR4\GPIO0_67</t>
    <phoneticPr fontId="1" type="noConversion"/>
  </si>
  <si>
    <t>RGMII2_TD0\RMII2_TXD0\MCASP2_AXR6\GPIO0_69</t>
    <phoneticPr fontId="1" type="noConversion"/>
  </si>
  <si>
    <t>RGMII2_TD1\RMII2_TXD1\MCASP2_ACLKR\MCASP2_AXR8\GPIO0_70</t>
    <phoneticPr fontId="1" type="noConversion"/>
  </si>
  <si>
    <t>RGMII2_TD2\GPMC0_A1\MCASP2_AFSX\SPI3_D0\GPIO0_71\EQEP2_I</t>
    <phoneticPr fontId="1" type="noConversion"/>
  </si>
  <si>
    <t>RGMII2_TD3\GPMC0_A2\MCASP2_ACLKX\SPI3_D1\GPIO0_72\EQEP2_S</t>
    <phoneticPr fontId="1" type="noConversion"/>
  </si>
  <si>
    <t>RGMII1_RXC\RMII1_REF_CLKRMII1_REF_CLK\GPIO0_60</t>
    <phoneticPr fontId="1" type="noConversion"/>
  </si>
  <si>
    <t>RGMII1_RX_CTL\RMII1_RX_ER\GPIO0_59</t>
    <phoneticPr fontId="1" type="noConversion"/>
  </si>
  <si>
    <t>RGMII1_RD0\RMII1_RXD0\GPIO0_61</t>
    <phoneticPr fontId="1" type="noConversion"/>
  </si>
  <si>
    <t>RGMII1_RD1\RMII1_RXD1\GPIO0_62</t>
    <phoneticPr fontId="1" type="noConversion"/>
  </si>
  <si>
    <t>RGMII1_RD2\I2C2_SCL\GPMC0_A5\GPIO0_63</t>
    <phoneticPr fontId="1" type="noConversion"/>
  </si>
  <si>
    <t>RGMII1_RD3\I2C2_SDA\GPMC0_A6\GPIO0_64</t>
    <phoneticPr fontId="1" type="noConversion"/>
  </si>
  <si>
    <t>RGMII1_TXC\RMII1_CRS_DV\GPIO0_54</t>
    <phoneticPr fontId="1" type="noConversion"/>
  </si>
  <si>
    <t>RGMII1_TX_CTL\RMII1_TX_EN\GPIO0_53</t>
    <phoneticPr fontId="1" type="noConversion"/>
  </si>
  <si>
    <t>RGMII1_TD0\RMII1_TXD0\GPIO0_55</t>
    <phoneticPr fontId="1" type="noConversion"/>
  </si>
  <si>
    <t>RGMII1_TD1\RMII1_TXD1\GPIO0_56</t>
    <phoneticPr fontId="1" type="noConversion"/>
  </si>
  <si>
    <t>RGMII1_TD2\GPMC0_A0\GPIO0_57</t>
    <phoneticPr fontId="1" type="noConversion"/>
  </si>
  <si>
    <t>RGMII1_TD3\CLKOUT0\GPIO0_58</t>
    <phoneticPr fontId="1" type="noConversion"/>
  </si>
  <si>
    <t>MDIO0_MDIO\GPIO0_65</t>
    <phoneticPr fontId="1" type="noConversion"/>
  </si>
  <si>
    <t>MDIO0_MDC\GPIO0_66</t>
    <phoneticPr fontId="1" type="noConversion"/>
  </si>
  <si>
    <t>DSI0_TXN3</t>
    <phoneticPr fontId="1" type="noConversion"/>
  </si>
  <si>
    <t>DSI0_TXP3</t>
    <phoneticPr fontId="1" type="noConversion"/>
  </si>
  <si>
    <t>DSI0_TXN2</t>
    <phoneticPr fontId="1" type="noConversion"/>
  </si>
  <si>
    <t>DSI0_TXP2</t>
    <phoneticPr fontId="1" type="noConversion"/>
  </si>
  <si>
    <t>DSI0_TXN1</t>
    <phoneticPr fontId="1" type="noConversion"/>
  </si>
  <si>
    <t>DSI0_TXP1</t>
    <phoneticPr fontId="1" type="noConversion"/>
  </si>
  <si>
    <t>DSI0_TXN0</t>
    <phoneticPr fontId="1" type="noConversion"/>
  </si>
  <si>
    <t>DSI0_TXP0</t>
    <phoneticPr fontId="1" type="noConversion"/>
  </si>
  <si>
    <t>DSI0_TXCLKN</t>
    <phoneticPr fontId="1" type="noConversion"/>
  </si>
  <si>
    <t>DSI0_TXCLKP</t>
    <phoneticPr fontId="1" type="noConversion"/>
  </si>
  <si>
    <t>OSPI0_D7\SPI1_D1\MCASP1_AFSX\UART6_CTSn\I2C3_SDA\UART4_TXD\GPIO0_10</t>
    <phoneticPr fontId="1" type="noConversion"/>
  </si>
  <si>
    <t>OSPI0_D6\SPI1_D0\MCASP1_ACLKX\UART6_RTSn\I2C3_SCL\UART4_RXD\GPIO0_9</t>
    <phoneticPr fontId="1" type="noConversion"/>
  </si>
  <si>
    <t>OSPI0_D5\SPI1_CLK\MCASP1_AXR0\UART6_TXD\GPIO0_8</t>
    <phoneticPr fontId="1" type="noConversion"/>
  </si>
  <si>
    <t>OSPI0_D4\SPI1_CS0\MCASP1_AXR1\UART6_RXD\GPIO0_7</t>
    <phoneticPr fontId="1" type="noConversion"/>
  </si>
  <si>
    <t>OSPI0_D3\GPIO0_6</t>
    <phoneticPr fontId="1" type="noConversion"/>
  </si>
  <si>
    <t>OSPI0_D2\GPIO0_5</t>
    <phoneticPr fontId="1" type="noConversion"/>
  </si>
  <si>
    <t>OSPI0_D1\GPIO0_4</t>
    <phoneticPr fontId="1" type="noConversion"/>
  </si>
  <si>
    <t>OSPI0_D0\GPIO0_3</t>
    <phoneticPr fontId="1" type="noConversion"/>
  </si>
  <si>
    <t>OSPI0_CLK\GPIO0_0</t>
    <phoneticPr fontId="1" type="noConversion"/>
  </si>
  <si>
    <t>OSPI0_DQS\UART5_CTSn\GPIO0_2</t>
    <phoneticPr fontId="1" type="noConversion"/>
  </si>
  <si>
    <t>OSPI0_CSn3\OSPI0_RESET_OUT0\OSPI0_ECC_FAIL\MCASP1_ACLKR\MCASP1_AXR3\UART5_TXD\ADC_EXT_TRIGGER1\GPIO0_14</t>
    <phoneticPr fontId="1" type="noConversion"/>
  </si>
  <si>
    <t>OSPI0_CSn0\GPIO0_11</t>
    <phoneticPr fontId="1" type="noConversion"/>
  </si>
  <si>
    <t>OSPI0_CSn1\GPIO0_12</t>
    <phoneticPr fontId="1" type="noConversion"/>
  </si>
  <si>
    <t>OSPI0_CSn2\SPI1_CS1\OSPI0_RESET_OUT1\MCASP1_AFSR\MCASP1_AXR2\UART5_RXD\ADC_EXT_TRIGGER0\GPIO0_13</t>
    <phoneticPr fontId="1" type="noConversion"/>
  </si>
  <si>
    <t>OSPI0_LBCLKO\UART5_RTSn\GPIO0_1</t>
    <phoneticPr fontId="1" type="noConversion"/>
  </si>
  <si>
    <t>MCAN0_TX\UART5_RXD\TIMER_IO2\SYNC2_OUT\UART1_DTRn\EQEP2_I\GPIO0_96\MCASP2_AXR0\EHRPWM_TZn_IN3</t>
    <phoneticPr fontId="1" type="noConversion"/>
  </si>
  <si>
    <t>MCAN0_RX\UART5_TXD\TIMER_IO3\SYNC3_OUT\UART1_RIn\EQEP2_S\GPIO0_97\MCASP2_AXR1\EHRPWM_TZn_IN4</t>
    <phoneticPr fontId="1" type="noConversion"/>
  </si>
  <si>
    <t>UART0_CTSn\SPI0_CS2\I2C3_SCL\UART2_RXD\TIMER_IO2\AUDIO_EXT_REFCLK0\MCAN2_RX\GPIO0_94\MCASP2_AFSX\MMC2_SDCD</t>
    <phoneticPr fontId="1" type="noConversion"/>
  </si>
  <si>
    <t>UART0_RTSn\SPI0_CS3\I2C3_SDA\UART2_TXD\TIMER_IO3\AUDIO_EXT_REFCLK1\MCAN2_TX\GPIO0_95\MCASP2_ACLKX\MMC2_SDWP</t>
    <phoneticPr fontId="1" type="noConversion"/>
  </si>
  <si>
    <t>UART0_TXD\ECAP2_IN_APWM_OUT\SPI2_D1\EHRPWM2_B\GPIO0_93</t>
    <phoneticPr fontId="1" type="noConversion"/>
  </si>
  <si>
    <t>UART0_RXD\ECAP1_IN_APWM_OUT\SPI2_D0\EHRPWM2_A\GPIO0_92</t>
    <phoneticPr fontId="1" type="noConversion"/>
  </si>
  <si>
    <t>SPI0_CLK\CP_GEMAC_CPTS0_TS_SYNC\EHRPWM1_A\GPIO0_89</t>
    <phoneticPr fontId="1" type="noConversion"/>
  </si>
  <si>
    <t>SPI0_D0\CP_GEMAC_CPTS0_HW1TSPUSH\EHRPWM1_B\GPIO0_90</t>
    <phoneticPr fontId="1" type="noConversion"/>
  </si>
  <si>
    <t>SPI0_D1\CP_GEMAC_CPTS0_HW2TSPUSH\EHRPWM_TZn_IN0\GPIO0_91</t>
    <phoneticPr fontId="1" type="noConversion"/>
  </si>
  <si>
    <t>SPI0_CS0\EHRPWM0_A\GPIO0_87</t>
    <phoneticPr fontId="1" type="noConversion"/>
  </si>
  <si>
    <t>SPI0_CS1\CP_GEMAC_CPTS0_TS_COMP\EHRPWM0_B\ECAP0_IN_APWM_OUT\AUDIO_EXT_REFCLK1\GPIO0_88\EHRPWM_TZn_IN5</t>
    <phoneticPr fontId="1" type="noConversion"/>
  </si>
  <si>
    <t>I2C2_SCL\GPIO0_102</t>
    <phoneticPr fontId="1" type="noConversion"/>
  </si>
  <si>
    <t>I2C2_SDA\GPIO0_103</t>
    <phoneticPr fontId="1" type="noConversion"/>
  </si>
  <si>
    <t>I2C1_SCL\UART1_RXD\TIMER_IO0\SPI2_CS1\EHRPWM0_SYNCI\GPIO0_100\EHRPWM2_A\MMC2_SDCD</t>
    <phoneticPr fontId="1" type="noConversion"/>
  </si>
  <si>
    <t>I2C1_SDA\UART1_TXD\TIMER_IO1\SPI2_CLK\EHRPWM0_SYNCO\GPIO0_101\EHRPWM2_B\MMC2_SDWP</t>
    <phoneticPr fontId="1" type="noConversion"/>
  </si>
  <si>
    <t>I2C0_SCL\SYNC0_OUT\OBSCLK1\UART1_DCDn\EQEP2_A\EHRPWM_SOCA\GPIO0_98\ECAP1_IN_APWM_OUT\SPI2_CS0</t>
    <phoneticPr fontId="1" type="noConversion"/>
  </si>
  <si>
    <t>I2C0_SDA\SPI2_CS2\TIMER_IO1\UART1_DSRn\EQEP2_B\EHRPWM_SOCB\GPIO0_99\ECAP2_IN_APWM_OUT</t>
    <phoneticPr fontId="1" type="noConversion"/>
  </si>
  <si>
    <t>MCASP0_AFSR\SPI2_CS0\UART1_RXD\ADC_EXT_TRIGGER0\EHRPWM0_A\GPIO0_85\EQEP1_S</t>
    <phoneticPr fontId="1" type="noConversion"/>
  </si>
  <si>
    <t>MCASP0_ACLKR\SPI2_CLK\UART1_TXD\ADC_EXT_TRIGGER1\EHRPWM0_B\GPIO0_86\EQEP1_I</t>
    <phoneticPr fontId="1" type="noConversion"/>
  </si>
  <si>
    <t>MCASP0_AFSX\SPI2_CS3\AUDIO_EXT_REFCLK1\GPIO0_84\EQEP1_B</t>
    <phoneticPr fontId="1" type="noConversion"/>
  </si>
  <si>
    <t>MCASP0_ACLKX\SPI2_CS1\ECAP2_IN_APWM_OUT\GPIO0_83\EQEP1_A</t>
    <phoneticPr fontId="1" type="noConversion"/>
  </si>
  <si>
    <t>MCASP0_AXR3\SPI2_D0\UART1_CTSn\UART6_RXD\ECAP1_IN_APWM_OUT\MCAN1_RX\GPIO0_79\EQEP0_A</t>
    <phoneticPr fontId="1" type="noConversion"/>
  </si>
  <si>
    <t>MCASP0_AXR2\SPI2_D1\UART1_RTSn\UART6_TXD\ECAP2_IN_APWM_OUT\MCAN1_TX\GPIO0_80\EQEP0_B</t>
    <phoneticPr fontId="1" type="noConversion"/>
  </si>
  <si>
    <t>MCASP0_AXR1\SPI2_CS2\ECAP1_IN_APWM_OUT\EHRPWM1_A\GPIO0_81\EQEP0_S</t>
    <phoneticPr fontId="1" type="noConversion"/>
  </si>
  <si>
    <t>MCASP0_AXR0\AUDIO_EXT_REFCLK0\EHRPWM1_B\GPIO0_82\EQEP0_I</t>
    <phoneticPr fontId="1" type="noConversion"/>
  </si>
  <si>
    <t>GPMC0_DIR\VOUT0_DE\SPI2_D0\MCASP2_AXR13\EQEP1_B\TRC_DATA14\GPIO0_40\EQEP2_S\MCAN1_TX</t>
    <phoneticPr fontId="1" type="noConversion"/>
  </si>
  <si>
    <t>GPMC0_CSn0\VOUT0_VSYNC\SPI2_D1\MCASP2_AXR14\EQEP1_S\TRC_DATA15\GPIO0_41</t>
    <phoneticPr fontId="1" type="noConversion"/>
  </si>
  <si>
    <t>GPMC0_WPn\VOUT0_HSYNC\SPI2_CLK\UART6_TXD\EQEP1_A\AUDIO_EXT_REFCLK1\TRC_DATA13\GPIO0_39</t>
    <phoneticPr fontId="1" type="noConversion"/>
  </si>
  <si>
    <t>GPMC0_CSn1\VOUT0_PCLK\SPI2_CS0\MCASP2_AXR15\EQEP1_I\TRC_DATA16\GPIO0_42</t>
    <phoneticPr fontId="1" type="noConversion"/>
  </si>
  <si>
    <t>GPMC0_AD7\VOUT0_DATA7\UART4_CTSn\MCASP2_AXR11\SPI1_CS1\MCASP1_AXR5\TRC_DATA5\GPIO0_22\BOOTMODE07</t>
    <phoneticPr fontId="1" type="noConversion"/>
  </si>
  <si>
    <t>GPMC0_AD6\VOUT0_DATA6\UART4_RTSn\MCASP2_AXR10\SPI1_CS3\TRC_DATA4\GPIO0_21\BOOTMODE06</t>
    <phoneticPr fontId="1" type="noConversion"/>
  </si>
  <si>
    <t>GPMC0_AD5\VOUT0_DATA5\UART5_CTSn\MCASP2_AXR9\SPI1_CLK\TRC_DATA3\GPIO0_20\BOOTMODE05</t>
    <phoneticPr fontId="1" type="noConversion"/>
  </si>
  <si>
    <t>GPMC0_AD4\VOUT0_DATA4\UART5_RTSn\MCASP2_AXR8\SPI1_CS0\TRC_DATA2\GPIO0_19\BOOTMODE04</t>
    <phoneticPr fontId="1" type="noConversion"/>
  </si>
  <si>
    <t>GPMC0_AD3\VOUT0_DATA3\UART6_CTSn\MCASP2_AXR7\SPI1_D1\TRC_DATA1\GPIO0_18\BOOTMODE03</t>
    <phoneticPr fontId="1" type="noConversion"/>
  </si>
  <si>
    <t>GPMC0_AD2\VOUT0_DATA2\UART6_RTSn\MCASP2_AXR6\SPI1_D0\TRC_DATA0\GPIO0_17\BOOTMODE02</t>
    <phoneticPr fontId="1" type="noConversion"/>
  </si>
  <si>
    <t>GPMC0_AD1\VOUT0_DATA1\UART6_TXD\MCASP2_AXR5\I2C3_SDA\ECAP1_IN_APWM_OUT\TRC_CTL\GPIO0_16\BOOTMODE01</t>
    <phoneticPr fontId="1" type="noConversion"/>
  </si>
  <si>
    <t>GPMC0_AD0\VOUT0_DATA0\UART6_RXD\MCASP2_AXR4\I2C3_SCL\ECAP0_IN_APWM_OUT\TRC_CLK\GPIO0_15\BOOTMODE00</t>
    <phoneticPr fontId="1" type="noConversion"/>
  </si>
  <si>
    <t>GPMC0_AD15\VOUT0_DATA15\UART5_TXD\MCASP2_ACLKR\EHRPWM1_A\TRC_DATA19\GPIO0_30\UART2_RTSn\BOOTMODE15</t>
    <phoneticPr fontId="1" type="noConversion"/>
  </si>
  <si>
    <t>GPMC0_AD14\VOUT0_DATA14\UART5_RXD\MCASP2_AFSR\EHRPWM0_B\TRC_DATA20\GPIO0_29\UART2_CTSn\BOOTMODE14</t>
    <phoneticPr fontId="1" type="noConversion"/>
  </si>
  <si>
    <t>GPMC0_AD13\VOUT0_DATA13\UART4_TXD\MCASP2_ACLKX\EHRPWM0_A\TRC_DATA21\GPIO0_28\BOOTMODE13</t>
    <phoneticPr fontId="1" type="noConversion"/>
  </si>
  <si>
    <t>GPMC0_AD12\VOUT0_DATA12\UART4_RXD\MCASP2_AFSX\EHRPWM_TZn_IN2\TRC_DATA22\GPIO0_27\BOOTMODE12</t>
    <phoneticPr fontId="1" type="noConversion"/>
  </si>
  <si>
    <t>GPMC0_AD11\VOUT0_DATA11\UART3_TXD\MCASP2_AXR3\EHRPWM0_SYNCO\TRC_DATA23\GPIO0_26\BOOTMODE11</t>
    <phoneticPr fontId="1" type="noConversion"/>
  </si>
  <si>
    <t>GPMC0_AD10\VOUT0_DATA10\UART3_RXD\MCASP2_AXR2\EHRPWM0_SYNCI\GPIO0_25\OBSCLK0\BOOTMODE10</t>
    <phoneticPr fontId="1" type="noConversion"/>
  </si>
  <si>
    <t>GPMC0_AD9\VOUT0_DATA9\UART2_TXD\MCASP2_AXR1\TIMER_IO2\ECAP2_IN_APWM_OUT\GPIO0_24\BOOTMODE09</t>
    <phoneticPr fontId="1" type="noConversion"/>
  </si>
  <si>
    <t>GPMC0_AD8\VOUT0_DATA8\UART2_RXD\MCASP2_AXR0\SPI1_CS2\MCASP1_AXR4\GPIO0_23\BOOTMODE08</t>
    <phoneticPr fontId="1" type="noConversion"/>
  </si>
  <si>
    <t>GPMC0_WAIT1\VOUT0_DATA23\SPI2_CS1\UART6_RXD\EQEP0_I\SPI3_D1\GPIO0_38\EQEP2_I\MCAN1_RX</t>
    <phoneticPr fontId="1" type="noConversion"/>
  </si>
  <si>
    <t>GPMC0_WAIT0\VOUT0_DATA22\MCASP1_AFSX\EQEP0_S\SPI3_D0\TRC_DATA12\GPIO0_37</t>
    <phoneticPr fontId="1" type="noConversion"/>
  </si>
  <si>
    <t>GPMC0_BE1n\VOUT0_DATA21\MCASP2_AXR12\EQEP0_B\SPI3_CLK\TRC_DATA11\GPIO0_36</t>
    <phoneticPr fontId="1" type="noConversion"/>
  </si>
  <si>
    <t>GPMC0_BE0n_CLE\VOUT0_DATA20\MCASP1_ACLKX\EQEP0_A\SPI3_CS0\TRC_DATA10\GPIO0_35</t>
    <phoneticPr fontId="1" type="noConversion"/>
  </si>
  <si>
    <t>GPMC0_Wen\VOUT0_DATA19\MCASP1_AXR0\EHRPWM2_B\SPI3_CS1\TRC_DATA9\GPIO0_34</t>
    <phoneticPr fontId="1" type="noConversion"/>
  </si>
  <si>
    <t>GPMC0_OEn_Ren\VOUT0_DATA18\MCASP1_AXR1\EHRPWM2_A\SPI3_CS2\TRC_DATA8\GPIO0_33</t>
    <phoneticPr fontId="1" type="noConversion"/>
  </si>
  <si>
    <t>GPMC0_ADVn_ALE\VOUT0_DATA17\MCASP1_AXR2\EHRPWM_TZn_IN1\SPI3_CS3\TRC_DATA7\GPIO0_32</t>
    <phoneticPr fontId="1" type="noConversion"/>
  </si>
  <si>
    <t>GPMC0_CLK\VOUT0_DATA16\MCASP1_AXR3\GPMC0_FCLK_MUX\EHRPWM1_B\TRC_DATA6\GPIO0_31</t>
    <phoneticPr fontId="1" type="noConversion"/>
  </si>
  <si>
    <t>GPMC0_CSn3\I2C2_SDA\WKUP_CLKOUT0\UART4_TXD\MCASP1_AXR5\ADC_EXT_TRIGGER1\TRC_DATA18\GPIO0_44\MCASP1_ACLKR</t>
    <phoneticPr fontId="1" type="noConversion"/>
  </si>
  <si>
    <t>GPMC0_CSn2\I2C2_SCL\MCASP1_AXR4\UART4_RXD\ADC_EXT_TRIGGER0\VOUT0_EXTPCLKIN\TRC_DATA17\GPIO0_43\MCASP1_AFSR</t>
    <phoneticPr fontId="1" type="noConversion"/>
  </si>
  <si>
    <t>DSI0_TXN3</t>
    <phoneticPr fontId="1" type="noConversion"/>
  </si>
  <si>
    <t>Core Board Pin Number</t>
    <phoneticPr fontId="1" type="noConversion"/>
  </si>
  <si>
    <t>Chip Pin Number</t>
    <phoneticPr fontId="1" type="noConversion"/>
  </si>
  <si>
    <t>Core Board Default Configuration</t>
    <phoneticPr fontId="1" type="noConversion"/>
  </si>
  <si>
    <t>Core Board Signal Length (mil)</t>
    <phoneticPr fontId="1" type="noConversion"/>
  </si>
  <si>
    <t>Reference Level</t>
    <phoneticPr fontId="1" type="noConversion"/>
  </si>
  <si>
    <t>Reusable Functions (Need to be analyzed according to specific requirements)</t>
    <phoneticPr fontId="1" type="noConversion"/>
  </si>
  <si>
    <t>Description</t>
    <phoneticPr fontId="1" type="noConversion"/>
  </si>
  <si>
    <t>The enable signal output by the core board can be used to enable the power supply of the base board.</t>
    <phoneticPr fontId="1" type="noConversion"/>
  </si>
  <si>
    <t>Reset Status Indicator Pin</t>
    <phoneticPr fontId="1" type="noConversion"/>
  </si>
  <si>
    <t>Supply voltage input to the core board</t>
    <phoneticPr fontId="1" type="noConversion"/>
  </si>
  <si>
    <t>SD card voltage output by the main controller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</si>
</sst>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7" xfId="0" applyFill="1" applyBorder="1">
      <alignment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4" fillId="4" borderId="8" xfId="0" applyFont="1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4" fillId="5" borderId="7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topLeftCell="A12" zoomScale="115" zoomScaleNormal="115" workbookViewId="0">
      <selection activeCell="F72" sqref="F72"/>
    </sheetView>
  </sheetViews>
  <sheetFormatPr defaultColWidth="9" defaultRowHeight="13.5" x14ac:dyDescent="0.15"/>
  <cols>
    <col min="1" max="1" width="12.75" customWidth="1"/>
    <col min="2" max="2" width="13.125" customWidth="1"/>
    <col min="3" max="3" width="21.25" customWidth="1"/>
    <col min="4" max="4" width="24.875" style="4" customWidth="1"/>
    <col min="5" max="5" width="10.75" customWidth="1"/>
    <col min="6" max="6" width="98.875" customWidth="1"/>
    <col min="7" max="7" width="18.875" customWidth="1"/>
  </cols>
  <sheetData>
    <row r="1" spans="1:7" ht="27.75" thickBot="1" x14ac:dyDescent="0.2">
      <c r="A1" s="32" t="s">
        <v>704</v>
      </c>
      <c r="B1" s="33" t="s">
        <v>705</v>
      </c>
      <c r="C1" s="34" t="s">
        <v>706</v>
      </c>
      <c r="D1" s="34" t="s">
        <v>707</v>
      </c>
      <c r="E1" s="34" t="s">
        <v>708</v>
      </c>
      <c r="F1" s="35" t="s">
        <v>709</v>
      </c>
      <c r="G1" s="15" t="s">
        <v>710</v>
      </c>
    </row>
    <row r="2" spans="1:7" s="8" customFormat="1" ht="14.25" thickBot="1" x14ac:dyDescent="0.2">
      <c r="A2" s="14" t="s">
        <v>2</v>
      </c>
      <c r="B2" s="9" t="s">
        <v>6</v>
      </c>
      <c r="C2" s="9"/>
      <c r="D2" s="7"/>
      <c r="E2" s="7"/>
      <c r="F2" s="19"/>
      <c r="G2" s="7"/>
    </row>
    <row r="3" spans="1:7" ht="14.25" thickBot="1" x14ac:dyDescent="0.2">
      <c r="A3" s="14" t="s">
        <v>3</v>
      </c>
      <c r="B3" s="10" t="s">
        <v>6</v>
      </c>
      <c r="C3" s="10"/>
      <c r="D3" s="3"/>
      <c r="E3" s="3"/>
      <c r="F3" s="20"/>
      <c r="G3" s="3"/>
    </row>
    <row r="4" spans="1:7" s="8" customFormat="1" ht="14.25" thickBot="1" x14ac:dyDescent="0.2">
      <c r="A4" s="14" t="s">
        <v>7</v>
      </c>
      <c r="B4" s="9" t="s">
        <v>6</v>
      </c>
      <c r="C4" s="9"/>
      <c r="D4" s="7"/>
      <c r="E4" s="7"/>
      <c r="F4" s="19"/>
      <c r="G4" s="7"/>
    </row>
    <row r="5" spans="1:7" s="8" customFormat="1" ht="14.25" thickBot="1" x14ac:dyDescent="0.2">
      <c r="A5" s="14" t="s">
        <v>8</v>
      </c>
      <c r="B5" s="9" t="s">
        <v>6</v>
      </c>
      <c r="C5" s="9"/>
      <c r="D5" s="7"/>
      <c r="E5" s="7"/>
      <c r="F5" s="19"/>
      <c r="G5" s="7"/>
    </row>
    <row r="6" spans="1:7" s="8" customFormat="1" ht="14.25" thickBot="1" x14ac:dyDescent="0.2">
      <c r="A6" s="14" t="s">
        <v>9</v>
      </c>
      <c r="B6" s="9" t="s">
        <v>6</v>
      </c>
      <c r="C6" s="9"/>
      <c r="D6" s="7"/>
      <c r="E6" s="7"/>
      <c r="F6" s="19"/>
      <c r="G6" s="7"/>
    </row>
    <row r="7" spans="1:7" s="8" customFormat="1" ht="14.25" thickBot="1" x14ac:dyDescent="0.2">
      <c r="A7" s="14" t="s">
        <v>10</v>
      </c>
      <c r="B7" s="9" t="s">
        <v>6</v>
      </c>
      <c r="C7" s="9"/>
      <c r="D7" s="7"/>
      <c r="E7" s="7"/>
      <c r="F7" s="19"/>
      <c r="G7" s="7"/>
    </row>
    <row r="8" spans="1:7" s="8" customFormat="1" ht="14.25" thickBot="1" x14ac:dyDescent="0.2">
      <c r="A8" s="14" t="s">
        <v>11</v>
      </c>
      <c r="B8" s="1"/>
      <c r="C8" s="2" t="s">
        <v>243</v>
      </c>
      <c r="D8" s="2"/>
      <c r="E8" s="2"/>
      <c r="F8" s="21"/>
      <c r="G8" s="2"/>
    </row>
    <row r="9" spans="1:7" s="8" customFormat="1" ht="14.25" thickBot="1" x14ac:dyDescent="0.2">
      <c r="A9" s="14" t="s">
        <v>12</v>
      </c>
      <c r="B9" s="1"/>
      <c r="C9" s="2" t="s">
        <v>243</v>
      </c>
      <c r="D9" s="2"/>
      <c r="E9" s="2"/>
      <c r="F9" s="21"/>
      <c r="G9" s="2"/>
    </row>
    <row r="10" spans="1:7" s="8" customFormat="1" ht="14.25" thickBot="1" x14ac:dyDescent="0.2">
      <c r="A10" s="14" t="s">
        <v>13</v>
      </c>
      <c r="B10" s="9" t="s">
        <v>247</v>
      </c>
      <c r="C10" s="7" t="s">
        <v>244</v>
      </c>
      <c r="D10" s="11">
        <v>1033.779</v>
      </c>
      <c r="E10" s="11" t="s">
        <v>246</v>
      </c>
      <c r="F10" s="27" t="s">
        <v>553</v>
      </c>
      <c r="G10" s="11"/>
    </row>
    <row r="11" spans="1:7" s="8" customFormat="1" ht="14.25" thickBot="1" x14ac:dyDescent="0.2">
      <c r="A11" s="14" t="s">
        <v>14</v>
      </c>
      <c r="B11" s="9" t="s">
        <v>248</v>
      </c>
      <c r="C11" s="11" t="s">
        <v>245</v>
      </c>
      <c r="D11" s="7">
        <v>1033.6030000000001</v>
      </c>
      <c r="E11" s="11" t="s">
        <v>246</v>
      </c>
      <c r="F11" s="22" t="s">
        <v>554</v>
      </c>
      <c r="G11" s="11"/>
    </row>
    <row r="12" spans="1:7" s="8" customFormat="1" ht="14.25" thickBot="1" x14ac:dyDescent="0.2">
      <c r="A12" s="14" t="s">
        <v>15</v>
      </c>
      <c r="B12" s="9" t="s">
        <v>249</v>
      </c>
      <c r="C12" s="7" t="s">
        <v>1</v>
      </c>
      <c r="D12" s="7">
        <v>1033.5540000000001</v>
      </c>
      <c r="E12" s="11" t="s">
        <v>246</v>
      </c>
      <c r="F12" s="22" t="s">
        <v>555</v>
      </c>
      <c r="G12" s="11"/>
    </row>
    <row r="13" spans="1:7" s="8" customFormat="1" ht="14.25" thickBot="1" x14ac:dyDescent="0.2">
      <c r="A13" s="14" t="s">
        <v>16</v>
      </c>
      <c r="B13" s="9" t="s">
        <v>250</v>
      </c>
      <c r="C13" s="7" t="s">
        <v>0</v>
      </c>
      <c r="D13" s="11">
        <f>879.002+154.634</f>
        <v>1033.636</v>
      </c>
      <c r="E13" s="11" t="s">
        <v>246</v>
      </c>
      <c r="F13" s="22" t="s">
        <v>556</v>
      </c>
      <c r="G13" s="11"/>
    </row>
    <row r="14" spans="1:7" s="8" customFormat="1" ht="14.25" thickBot="1" x14ac:dyDescent="0.2">
      <c r="A14" s="14" t="s">
        <v>17</v>
      </c>
      <c r="B14" s="9" t="s">
        <v>255</v>
      </c>
      <c r="C14" s="7" t="s">
        <v>251</v>
      </c>
      <c r="D14" s="7">
        <v>1033</v>
      </c>
      <c r="E14" s="11" t="s">
        <v>246</v>
      </c>
      <c r="F14" s="22" t="s">
        <v>557</v>
      </c>
      <c r="G14" s="11"/>
    </row>
    <row r="15" spans="1:7" s="8" customFormat="1" ht="14.25" thickBot="1" x14ac:dyDescent="0.2">
      <c r="A15" s="14" t="s">
        <v>18</v>
      </c>
      <c r="B15" s="9" t="s">
        <v>256</v>
      </c>
      <c r="C15" s="11" t="s">
        <v>252</v>
      </c>
      <c r="D15" s="7">
        <v>1033.0820000000001</v>
      </c>
      <c r="E15" s="11" t="s">
        <v>246</v>
      </c>
      <c r="F15" s="22" t="s">
        <v>558</v>
      </c>
      <c r="G15" s="11"/>
    </row>
    <row r="16" spans="1:7" s="8" customFormat="1" ht="14.25" thickBot="1" x14ac:dyDescent="0.2">
      <c r="A16" s="14" t="s">
        <v>19</v>
      </c>
      <c r="B16" s="9" t="s">
        <v>257</v>
      </c>
      <c r="C16" s="11" t="s">
        <v>253</v>
      </c>
      <c r="D16" s="7">
        <v>972.92899999999997</v>
      </c>
      <c r="E16" s="11" t="s">
        <v>246</v>
      </c>
      <c r="F16" s="22" t="s">
        <v>559</v>
      </c>
      <c r="G16" s="11"/>
    </row>
    <row r="17" spans="1:7" s="8" customFormat="1" ht="14.25" thickBot="1" x14ac:dyDescent="0.2">
      <c r="A17" s="14" t="s">
        <v>20</v>
      </c>
      <c r="B17" s="9" t="s">
        <v>258</v>
      </c>
      <c r="C17" s="11" t="s">
        <v>254</v>
      </c>
      <c r="D17" s="7">
        <v>948.70699999999999</v>
      </c>
      <c r="E17" s="11" t="s">
        <v>246</v>
      </c>
      <c r="F17" s="22" t="s">
        <v>560</v>
      </c>
      <c r="G17" s="11"/>
    </row>
    <row r="18" spans="1:7" s="8" customFormat="1" ht="14.25" thickBot="1" x14ac:dyDescent="0.2">
      <c r="A18" s="14" t="s">
        <v>21</v>
      </c>
      <c r="B18" s="1"/>
      <c r="C18" s="2" t="s">
        <v>243</v>
      </c>
      <c r="D18" s="2"/>
      <c r="E18" s="2"/>
      <c r="F18" s="21"/>
      <c r="G18" s="2"/>
    </row>
    <row r="19" spans="1:7" s="8" customFormat="1" ht="14.25" thickBot="1" x14ac:dyDescent="0.2">
      <c r="A19" s="14" t="s">
        <v>22</v>
      </c>
      <c r="B19" s="9" t="s">
        <v>262</v>
      </c>
      <c r="C19" s="11" t="s">
        <v>259</v>
      </c>
      <c r="D19" s="7">
        <v>513.66</v>
      </c>
      <c r="E19" s="11" t="s">
        <v>261</v>
      </c>
      <c r="F19" s="22" t="s">
        <v>561</v>
      </c>
      <c r="G19" s="11"/>
    </row>
    <row r="20" spans="1:7" s="8" customFormat="1" ht="14.25" thickBot="1" x14ac:dyDescent="0.2">
      <c r="A20" s="14" t="s">
        <v>23</v>
      </c>
      <c r="B20" s="9" t="s">
        <v>264</v>
      </c>
      <c r="C20" s="7" t="s">
        <v>263</v>
      </c>
      <c r="D20" s="7">
        <v>936.26300000000003</v>
      </c>
      <c r="E20" s="11" t="s">
        <v>261</v>
      </c>
      <c r="F20" s="22" t="s">
        <v>562</v>
      </c>
      <c r="G20" s="11"/>
    </row>
    <row r="21" spans="1:7" s="8" customFormat="1" ht="14.25" thickBot="1" x14ac:dyDescent="0.2">
      <c r="A21" s="14" t="s">
        <v>24</v>
      </c>
      <c r="B21" s="9" t="s">
        <v>267</v>
      </c>
      <c r="C21" s="7" t="s">
        <v>265</v>
      </c>
      <c r="D21" s="7">
        <v>993.73699999999997</v>
      </c>
      <c r="E21" s="11" t="s">
        <v>261</v>
      </c>
      <c r="F21" s="22" t="s">
        <v>563</v>
      </c>
      <c r="G21" s="11"/>
    </row>
    <row r="22" spans="1:7" ht="14.25" thickBot="1" x14ac:dyDescent="0.2">
      <c r="A22" s="14" t="s">
        <v>25</v>
      </c>
      <c r="B22" s="10" t="s">
        <v>268</v>
      </c>
      <c r="C22" s="3" t="s">
        <v>266</v>
      </c>
      <c r="D22" s="3">
        <v>613.61900000000003</v>
      </c>
      <c r="E22" s="11" t="s">
        <v>261</v>
      </c>
      <c r="F22" s="22" t="s">
        <v>564</v>
      </c>
      <c r="G22" s="11"/>
    </row>
    <row r="23" spans="1:7" ht="14.25" thickBot="1" x14ac:dyDescent="0.2">
      <c r="A23" s="14" t="s">
        <v>26</v>
      </c>
      <c r="B23" s="12"/>
      <c r="C23" s="2" t="s">
        <v>243</v>
      </c>
      <c r="D23" s="2"/>
      <c r="E23" s="2"/>
      <c r="F23" s="21"/>
      <c r="G23" s="2"/>
    </row>
    <row r="24" spans="1:7" ht="14.25" thickBot="1" x14ac:dyDescent="0.2">
      <c r="A24" s="14" t="s">
        <v>27</v>
      </c>
      <c r="B24" s="10" t="s">
        <v>273</v>
      </c>
      <c r="C24" s="3" t="s">
        <v>269</v>
      </c>
      <c r="D24" s="3">
        <f>950.632+307.806</f>
        <v>1258.4379999999999</v>
      </c>
      <c r="E24" s="11" t="s">
        <v>261</v>
      </c>
      <c r="F24" s="22" t="s">
        <v>565</v>
      </c>
      <c r="G24" s="11"/>
    </row>
    <row r="25" spans="1:7" ht="14.25" thickBot="1" x14ac:dyDescent="0.2">
      <c r="A25" s="14" t="s">
        <v>28</v>
      </c>
      <c r="B25" s="10" t="s">
        <v>274</v>
      </c>
      <c r="C25" s="3" t="s">
        <v>270</v>
      </c>
      <c r="D25" s="3">
        <v>753.71400000000006</v>
      </c>
      <c r="E25" s="11" t="s">
        <v>261</v>
      </c>
      <c r="F25" s="22" t="s">
        <v>566</v>
      </c>
      <c r="G25" s="11"/>
    </row>
    <row r="26" spans="1:7" ht="14.25" thickBot="1" x14ac:dyDescent="0.2">
      <c r="A26" s="14" t="s">
        <v>29</v>
      </c>
      <c r="B26" s="10" t="s">
        <v>275</v>
      </c>
      <c r="C26" s="3" t="s">
        <v>271</v>
      </c>
      <c r="D26" s="3">
        <v>588.98699999999997</v>
      </c>
      <c r="E26" s="11" t="s">
        <v>261</v>
      </c>
      <c r="F26" s="22" t="s">
        <v>567</v>
      </c>
      <c r="G26" s="11"/>
    </row>
    <row r="27" spans="1:7" ht="14.25" thickBot="1" x14ac:dyDescent="0.2">
      <c r="A27" s="14" t="s">
        <v>30</v>
      </c>
      <c r="B27" s="10" t="s">
        <v>276</v>
      </c>
      <c r="C27" s="3" t="s">
        <v>272</v>
      </c>
      <c r="D27" s="3">
        <v>709.66200000000003</v>
      </c>
      <c r="E27" s="11" t="s">
        <v>261</v>
      </c>
      <c r="F27" s="22" t="s">
        <v>568</v>
      </c>
      <c r="G27" s="11"/>
    </row>
    <row r="28" spans="1:7" ht="14.25" thickBot="1" x14ac:dyDescent="0.2">
      <c r="A28" s="14" t="s">
        <v>31</v>
      </c>
      <c r="B28" s="12"/>
      <c r="C28" s="2" t="s">
        <v>243</v>
      </c>
      <c r="D28" s="2"/>
      <c r="E28" s="2"/>
      <c r="F28" s="21"/>
      <c r="G28" s="2"/>
    </row>
    <row r="29" spans="1:7" ht="14.25" thickBot="1" x14ac:dyDescent="0.2">
      <c r="A29" s="14" t="s">
        <v>32</v>
      </c>
      <c r="B29" s="10" t="s">
        <v>284</v>
      </c>
      <c r="C29" s="3" t="s">
        <v>277</v>
      </c>
      <c r="D29" s="3">
        <v>535.96900000000005</v>
      </c>
      <c r="E29" s="11" t="s">
        <v>261</v>
      </c>
      <c r="F29" s="22" t="s">
        <v>569</v>
      </c>
      <c r="G29" s="11"/>
    </row>
    <row r="30" spans="1:7" ht="14.25" thickBot="1" x14ac:dyDescent="0.2">
      <c r="A30" s="14" t="s">
        <v>33</v>
      </c>
      <c r="B30" s="10" t="s">
        <v>285</v>
      </c>
      <c r="C30" s="3" t="s">
        <v>278</v>
      </c>
      <c r="D30" s="3">
        <v>512.45000000000005</v>
      </c>
      <c r="E30" s="11" t="s">
        <v>261</v>
      </c>
      <c r="F30" s="22" t="s">
        <v>570</v>
      </c>
      <c r="G30" s="11"/>
    </row>
    <row r="31" spans="1:7" ht="14.25" thickBot="1" x14ac:dyDescent="0.2">
      <c r="A31" s="14" t="s">
        <v>34</v>
      </c>
      <c r="B31" s="10" t="s">
        <v>286</v>
      </c>
      <c r="C31" s="3" t="s">
        <v>279</v>
      </c>
      <c r="D31" s="3">
        <v>573.34799999999996</v>
      </c>
      <c r="E31" s="11" t="s">
        <v>261</v>
      </c>
      <c r="F31" s="22" t="s">
        <v>571</v>
      </c>
      <c r="G31" s="11"/>
    </row>
    <row r="32" spans="1:7" ht="14.25" thickBot="1" x14ac:dyDescent="0.2">
      <c r="A32" s="14" t="s">
        <v>35</v>
      </c>
      <c r="B32" s="10" t="s">
        <v>287</v>
      </c>
      <c r="C32" s="3" t="s">
        <v>280</v>
      </c>
      <c r="D32" s="3">
        <f>440.994+88.619</f>
        <v>529.61300000000006</v>
      </c>
      <c r="E32" s="11" t="s">
        <v>261</v>
      </c>
      <c r="F32" s="22" t="s">
        <v>572</v>
      </c>
      <c r="G32" s="11"/>
    </row>
    <row r="33" spans="1:7" ht="14.25" thickBot="1" x14ac:dyDescent="0.2">
      <c r="A33" s="14" t="s">
        <v>36</v>
      </c>
      <c r="B33" s="10" t="s">
        <v>288</v>
      </c>
      <c r="C33" s="3" t="s">
        <v>281</v>
      </c>
      <c r="D33" s="3">
        <v>553.53</v>
      </c>
      <c r="E33" s="11" t="s">
        <v>261</v>
      </c>
      <c r="F33" s="22" t="s">
        <v>573</v>
      </c>
      <c r="G33" s="11"/>
    </row>
    <row r="34" spans="1:7" ht="14.25" thickBot="1" x14ac:dyDescent="0.2">
      <c r="A34" s="14" t="s">
        <v>37</v>
      </c>
      <c r="B34" s="10" t="s">
        <v>289</v>
      </c>
      <c r="C34" s="3" t="s">
        <v>282</v>
      </c>
      <c r="D34" s="3">
        <v>551.13599999999997</v>
      </c>
      <c r="E34" s="11" t="s">
        <v>261</v>
      </c>
      <c r="F34" s="22" t="s">
        <v>574</v>
      </c>
      <c r="G34" s="11"/>
    </row>
    <row r="35" spans="1:7" ht="14.25" thickBot="1" x14ac:dyDescent="0.2">
      <c r="A35" s="14" t="s">
        <v>38</v>
      </c>
      <c r="B35" s="10" t="s">
        <v>290</v>
      </c>
      <c r="C35" s="3" t="s">
        <v>283</v>
      </c>
      <c r="D35" s="3">
        <v>590.31799999999998</v>
      </c>
      <c r="E35" s="11" t="s">
        <v>261</v>
      </c>
      <c r="F35" s="22" t="s">
        <v>575</v>
      </c>
      <c r="G35" s="11"/>
    </row>
    <row r="36" spans="1:7" ht="14.25" thickBot="1" x14ac:dyDescent="0.2">
      <c r="A36" s="14" t="s">
        <v>39</v>
      </c>
      <c r="B36" s="12"/>
      <c r="C36" s="2" t="s">
        <v>243</v>
      </c>
      <c r="D36" s="2"/>
      <c r="E36" s="2"/>
      <c r="F36" s="21"/>
      <c r="G36" s="2"/>
    </row>
    <row r="37" spans="1:7" ht="14.25" thickBot="1" x14ac:dyDescent="0.2">
      <c r="A37" s="14" t="s">
        <v>40</v>
      </c>
      <c r="B37" s="10" t="s">
        <v>301</v>
      </c>
      <c r="C37" s="3" t="s">
        <v>291</v>
      </c>
      <c r="D37" s="3">
        <v>506.37599999999998</v>
      </c>
      <c r="E37" s="11" t="s">
        <v>299</v>
      </c>
      <c r="F37" s="22" t="s">
        <v>576</v>
      </c>
      <c r="G37" s="11"/>
    </row>
    <row r="38" spans="1:7" ht="14.25" thickBot="1" x14ac:dyDescent="0.2">
      <c r="A38" s="14" t="s">
        <v>41</v>
      </c>
      <c r="B38" s="10" t="s">
        <v>302</v>
      </c>
      <c r="C38" s="3" t="s">
        <v>292</v>
      </c>
      <c r="D38" s="3">
        <v>506.47500000000002</v>
      </c>
      <c r="E38" s="11" t="s">
        <v>299</v>
      </c>
      <c r="F38" s="22" t="s">
        <v>577</v>
      </c>
      <c r="G38" s="11"/>
    </row>
    <row r="39" spans="1:7" ht="14.25" thickBot="1" x14ac:dyDescent="0.2">
      <c r="A39" s="14" t="s">
        <v>42</v>
      </c>
      <c r="B39" s="10" t="s">
        <v>303</v>
      </c>
      <c r="C39" s="3" t="s">
        <v>293</v>
      </c>
      <c r="D39" s="3">
        <v>506.625</v>
      </c>
      <c r="E39" s="11" t="s">
        <v>299</v>
      </c>
      <c r="F39" s="22" t="s">
        <v>578</v>
      </c>
      <c r="G39" s="11"/>
    </row>
    <row r="40" spans="1:7" ht="14.25" thickBot="1" x14ac:dyDescent="0.2">
      <c r="A40" s="14" t="s">
        <v>43</v>
      </c>
      <c r="B40" s="10" t="s">
        <v>304</v>
      </c>
      <c r="C40" s="3" t="s">
        <v>294</v>
      </c>
      <c r="D40" s="3">
        <f>350.087+156.865</f>
        <v>506.952</v>
      </c>
      <c r="E40" s="11" t="s">
        <v>299</v>
      </c>
      <c r="F40" s="22" t="s">
        <v>579</v>
      </c>
      <c r="G40" s="11"/>
    </row>
    <row r="41" spans="1:7" ht="14.25" thickBot="1" x14ac:dyDescent="0.2">
      <c r="A41" s="14" t="s">
        <v>44</v>
      </c>
      <c r="B41" s="10" t="s">
        <v>305</v>
      </c>
      <c r="C41" s="3" t="s">
        <v>295</v>
      </c>
      <c r="D41" s="3">
        <v>506.43799999999999</v>
      </c>
      <c r="E41" s="11" t="s">
        <v>299</v>
      </c>
      <c r="F41" s="22" t="s">
        <v>580</v>
      </c>
      <c r="G41" s="11"/>
    </row>
    <row r="42" spans="1:7" ht="14.25" thickBot="1" x14ac:dyDescent="0.2">
      <c r="A42" s="14" t="s">
        <v>45</v>
      </c>
      <c r="B42" s="10" t="s">
        <v>306</v>
      </c>
      <c r="C42" s="3" t="s">
        <v>296</v>
      </c>
      <c r="D42" s="3">
        <v>506.43599999999998</v>
      </c>
      <c r="E42" s="11" t="s">
        <v>299</v>
      </c>
      <c r="F42" s="22" t="s">
        <v>581</v>
      </c>
      <c r="G42" s="11"/>
    </row>
    <row r="43" spans="1:7" ht="14.25" thickBot="1" x14ac:dyDescent="0.2">
      <c r="A43" s="14" t="s">
        <v>46</v>
      </c>
      <c r="B43" s="10" t="s">
        <v>307</v>
      </c>
      <c r="C43" s="3" t="s">
        <v>297</v>
      </c>
      <c r="D43" s="3">
        <v>972.92899999999997</v>
      </c>
      <c r="E43" s="11" t="s">
        <v>300</v>
      </c>
      <c r="F43" s="22" t="s">
        <v>582</v>
      </c>
      <c r="G43" s="11"/>
    </row>
    <row r="44" spans="1:7" ht="14.25" thickBot="1" x14ac:dyDescent="0.2">
      <c r="A44" s="14" t="s">
        <v>47</v>
      </c>
      <c r="B44" s="10" t="s">
        <v>308</v>
      </c>
      <c r="C44" s="3" t="s">
        <v>298</v>
      </c>
      <c r="D44" s="3">
        <v>948.70699999999999</v>
      </c>
      <c r="E44" s="11" t="s">
        <v>300</v>
      </c>
      <c r="F44" s="22" t="s">
        <v>583</v>
      </c>
      <c r="G44" s="11"/>
    </row>
    <row r="45" spans="1:7" ht="14.25" thickBot="1" x14ac:dyDescent="0.2">
      <c r="A45" s="14" t="s">
        <v>48</v>
      </c>
      <c r="B45" s="12"/>
      <c r="C45" s="2" t="s">
        <v>243</v>
      </c>
      <c r="D45" s="2"/>
      <c r="E45" s="2"/>
      <c r="F45" s="21"/>
      <c r="G45" s="2"/>
    </row>
    <row r="46" spans="1:7" ht="14.25" thickBot="1" x14ac:dyDescent="0.2">
      <c r="A46" s="14" t="s">
        <v>49</v>
      </c>
      <c r="B46" s="10" t="s">
        <v>309</v>
      </c>
      <c r="C46" s="3"/>
      <c r="D46" s="3"/>
      <c r="E46" s="3"/>
      <c r="F46" s="20"/>
      <c r="G46" s="3"/>
    </row>
    <row r="47" spans="1:7" ht="81.75" thickBot="1" x14ac:dyDescent="0.2">
      <c r="A47" s="14" t="s">
        <v>50</v>
      </c>
      <c r="B47" s="5"/>
      <c r="C47" s="6" t="s">
        <v>310</v>
      </c>
      <c r="D47" s="6"/>
      <c r="E47" s="16" t="s">
        <v>300</v>
      </c>
      <c r="F47" s="23"/>
      <c r="G47" s="36" t="s">
        <v>711</v>
      </c>
    </row>
    <row r="48" spans="1:7" ht="14.25" thickBot="1" x14ac:dyDescent="0.2">
      <c r="A48" s="14" t="s">
        <v>51</v>
      </c>
      <c r="B48" s="10" t="s">
        <v>312</v>
      </c>
      <c r="C48" s="3" t="s">
        <v>311</v>
      </c>
      <c r="D48" s="3"/>
      <c r="E48" s="11" t="s">
        <v>300</v>
      </c>
      <c r="F48" s="22" t="s">
        <v>584</v>
      </c>
      <c r="G48" s="11"/>
    </row>
    <row r="49" spans="1:7" ht="14.25" thickBot="1" x14ac:dyDescent="0.2">
      <c r="A49" s="14" t="s">
        <v>52</v>
      </c>
      <c r="B49" s="12"/>
      <c r="C49" s="2" t="s">
        <v>243</v>
      </c>
      <c r="D49" s="2"/>
      <c r="E49" s="2"/>
      <c r="F49" s="21"/>
      <c r="G49" s="2"/>
    </row>
    <row r="50" spans="1:7" ht="14.25" thickBot="1" x14ac:dyDescent="0.2">
      <c r="A50" s="14" t="s">
        <v>53</v>
      </c>
      <c r="B50" s="10" t="s">
        <v>314</v>
      </c>
      <c r="C50" s="3" t="s">
        <v>313</v>
      </c>
      <c r="D50" s="3"/>
      <c r="E50" s="11" t="s">
        <v>300</v>
      </c>
      <c r="F50" s="28" t="s">
        <v>585</v>
      </c>
      <c r="G50" s="3"/>
    </row>
    <row r="51" spans="1:7" ht="14.25" thickBot="1" x14ac:dyDescent="0.2">
      <c r="A51" s="14" t="s">
        <v>54</v>
      </c>
      <c r="B51" s="12"/>
      <c r="C51" s="2" t="s">
        <v>243</v>
      </c>
      <c r="D51" s="2"/>
      <c r="E51" s="2"/>
      <c r="F51" s="21"/>
      <c r="G51" s="2"/>
    </row>
    <row r="52" spans="1:7" ht="27.75" thickBot="1" x14ac:dyDescent="0.2">
      <c r="A52" s="14" t="s">
        <v>55</v>
      </c>
      <c r="B52" s="10" t="s">
        <v>316</v>
      </c>
      <c r="C52" s="3" t="s">
        <v>315</v>
      </c>
      <c r="D52" s="3"/>
      <c r="E52" s="11" t="s">
        <v>300</v>
      </c>
      <c r="F52" s="28" t="s">
        <v>586</v>
      </c>
      <c r="G52" s="37" t="s">
        <v>712</v>
      </c>
    </row>
    <row r="53" spans="1:7" ht="14.25" thickBot="1" x14ac:dyDescent="0.2">
      <c r="A53" s="14" t="s">
        <v>56</v>
      </c>
      <c r="B53" s="12"/>
      <c r="C53" s="2" t="s">
        <v>243</v>
      </c>
      <c r="D53" s="2"/>
      <c r="E53" s="2"/>
      <c r="F53" s="21"/>
      <c r="G53" s="2"/>
    </row>
    <row r="54" spans="1:7" ht="14.25" thickBot="1" x14ac:dyDescent="0.2">
      <c r="A54" s="14" t="s">
        <v>57</v>
      </c>
      <c r="B54" s="10" t="s">
        <v>312</v>
      </c>
      <c r="C54" s="3" t="s">
        <v>317</v>
      </c>
      <c r="D54" s="3"/>
      <c r="E54" s="11" t="s">
        <v>300</v>
      </c>
      <c r="F54" s="28" t="s">
        <v>584</v>
      </c>
      <c r="G54" s="17"/>
    </row>
    <row r="55" spans="1:7" ht="14.25" thickBot="1" x14ac:dyDescent="0.2">
      <c r="A55" s="14" t="s">
        <v>58</v>
      </c>
      <c r="B55" s="12"/>
      <c r="C55" s="2" t="s">
        <v>243</v>
      </c>
      <c r="D55" s="2"/>
      <c r="E55" s="2"/>
      <c r="F55" s="21"/>
      <c r="G55" s="2"/>
    </row>
    <row r="56" spans="1:7" ht="14.25" thickBot="1" x14ac:dyDescent="0.2">
      <c r="A56" s="14" t="s">
        <v>59</v>
      </c>
      <c r="B56" s="10" t="s">
        <v>309</v>
      </c>
      <c r="C56" s="3"/>
      <c r="D56" s="3"/>
      <c r="E56" s="3"/>
      <c r="F56" s="20"/>
      <c r="G56" s="3"/>
    </row>
    <row r="57" spans="1:7" ht="14.25" thickBot="1" x14ac:dyDescent="0.2">
      <c r="A57" s="14" t="s">
        <v>60</v>
      </c>
      <c r="B57" s="12"/>
      <c r="C57" s="2" t="s">
        <v>243</v>
      </c>
      <c r="D57" s="2"/>
      <c r="E57" s="2"/>
      <c r="F57" s="21"/>
      <c r="G57" s="2"/>
    </row>
    <row r="58" spans="1:7" ht="14.25" thickBot="1" x14ac:dyDescent="0.2">
      <c r="A58" s="14" t="s">
        <v>61</v>
      </c>
      <c r="B58" s="12"/>
      <c r="C58" s="2" t="s">
        <v>243</v>
      </c>
      <c r="D58" s="2"/>
      <c r="E58" s="2"/>
      <c r="F58" s="21"/>
      <c r="G58" s="2"/>
    </row>
    <row r="59" spans="1:7" ht="14.25" thickBot="1" x14ac:dyDescent="0.2">
      <c r="A59" s="14" t="s">
        <v>62</v>
      </c>
      <c r="B59" s="12"/>
      <c r="C59" s="2" t="s">
        <v>243</v>
      </c>
      <c r="D59" s="2"/>
      <c r="E59" s="2"/>
      <c r="F59" s="21"/>
      <c r="G59" s="2"/>
    </row>
    <row r="60" spans="1:7" ht="14.25" thickBot="1" x14ac:dyDescent="0.2">
      <c r="A60" s="14" t="s">
        <v>63</v>
      </c>
      <c r="B60" s="12"/>
      <c r="C60" s="2" t="s">
        <v>243</v>
      </c>
      <c r="D60" s="2"/>
      <c r="E60" s="2"/>
      <c r="F60" s="21"/>
      <c r="G60" s="2"/>
    </row>
    <row r="61" spans="1:7" ht="14.25" thickBot="1" x14ac:dyDescent="0.2">
      <c r="A61" s="14" t="s">
        <v>64</v>
      </c>
      <c r="B61" s="12"/>
      <c r="C61" s="2" t="s">
        <v>243</v>
      </c>
      <c r="D61" s="2"/>
      <c r="E61" s="2"/>
      <c r="F61" s="21"/>
      <c r="G61" s="2"/>
    </row>
    <row r="62" spans="1:7" ht="14.25" thickBot="1" x14ac:dyDescent="0.2">
      <c r="A62" s="14" t="s">
        <v>65</v>
      </c>
      <c r="B62" s="5"/>
      <c r="C62" s="6" t="s">
        <v>318</v>
      </c>
      <c r="D62" s="6"/>
      <c r="E62" s="16" t="s">
        <v>300</v>
      </c>
      <c r="F62" s="24"/>
      <c r="G62" s="29" t="s">
        <v>713</v>
      </c>
    </row>
    <row r="63" spans="1:7" ht="14.25" thickBot="1" x14ac:dyDescent="0.2">
      <c r="A63" s="14" t="s">
        <v>66</v>
      </c>
      <c r="B63" s="5"/>
      <c r="C63" s="6" t="s">
        <v>318</v>
      </c>
      <c r="D63" s="6"/>
      <c r="E63" s="16" t="s">
        <v>300</v>
      </c>
      <c r="F63" s="25"/>
      <c r="G63" s="30"/>
    </row>
    <row r="64" spans="1:7" ht="14.25" thickBot="1" x14ac:dyDescent="0.2">
      <c r="A64" s="14" t="s">
        <v>67</v>
      </c>
      <c r="B64" s="5"/>
      <c r="C64" s="6" t="s">
        <v>318</v>
      </c>
      <c r="D64" s="6"/>
      <c r="E64" s="16" t="s">
        <v>300</v>
      </c>
      <c r="F64" s="25"/>
      <c r="G64" s="30"/>
    </row>
    <row r="65" spans="1:7" ht="14.25" thickBot="1" x14ac:dyDescent="0.2">
      <c r="A65" s="14" t="s">
        <v>68</v>
      </c>
      <c r="B65" s="5"/>
      <c r="C65" s="6" t="s">
        <v>318</v>
      </c>
      <c r="D65" s="6"/>
      <c r="E65" s="6" t="s">
        <v>319</v>
      </c>
      <c r="F65" s="25"/>
      <c r="G65" s="30"/>
    </row>
    <row r="66" spans="1:7" ht="14.25" thickBot="1" x14ac:dyDescent="0.2">
      <c r="A66" s="14" t="s">
        <v>69</v>
      </c>
      <c r="B66" s="5"/>
      <c r="C66" s="6" t="s">
        <v>318</v>
      </c>
      <c r="D66" s="6"/>
      <c r="E66" s="16" t="s">
        <v>300</v>
      </c>
      <c r="F66" s="26"/>
      <c r="G66" s="31"/>
    </row>
    <row r="67" spans="1:7" ht="14.25" thickBot="1" x14ac:dyDescent="0.2">
      <c r="A67" s="14" t="s">
        <v>70</v>
      </c>
      <c r="B67" s="10" t="s">
        <v>309</v>
      </c>
      <c r="C67" s="3"/>
      <c r="D67" s="3"/>
      <c r="E67" s="3"/>
      <c r="F67" s="20"/>
      <c r="G67" s="3"/>
    </row>
    <row r="68" spans="1:7" ht="41.25" thickBot="1" x14ac:dyDescent="0.2">
      <c r="A68" s="14" t="s">
        <v>71</v>
      </c>
      <c r="B68" s="6" t="s">
        <v>321</v>
      </c>
      <c r="C68" s="6" t="s">
        <v>320</v>
      </c>
      <c r="D68" s="6"/>
      <c r="E68" s="16" t="s">
        <v>299</v>
      </c>
      <c r="F68" s="23"/>
      <c r="G68" s="36" t="s">
        <v>714</v>
      </c>
    </row>
    <row r="69" spans="1:7" ht="14.25" thickBot="1" x14ac:dyDescent="0.2">
      <c r="A69" s="14" t="s">
        <v>72</v>
      </c>
      <c r="B69" s="12"/>
      <c r="C69" s="2" t="s">
        <v>243</v>
      </c>
      <c r="D69" s="2"/>
      <c r="E69" s="2"/>
      <c r="F69" s="21"/>
      <c r="G69" s="2"/>
    </row>
    <row r="70" spans="1:7" ht="14.25" thickBot="1" x14ac:dyDescent="0.2">
      <c r="A70" s="14" t="s">
        <v>73</v>
      </c>
      <c r="B70" s="10" t="s">
        <v>323</v>
      </c>
      <c r="C70" s="3" t="s">
        <v>322</v>
      </c>
      <c r="D70" s="3"/>
      <c r="E70" s="3" t="s">
        <v>260</v>
      </c>
      <c r="F70" s="28" t="s">
        <v>587</v>
      </c>
      <c r="G70" s="3"/>
    </row>
    <row r="71" spans="1:7" ht="14.25" thickBot="1" x14ac:dyDescent="0.2">
      <c r="A71" s="14" t="s">
        <v>74</v>
      </c>
      <c r="B71" s="12"/>
      <c r="C71" s="2" t="s">
        <v>243</v>
      </c>
      <c r="D71" s="2"/>
      <c r="E71" s="2"/>
      <c r="F71" s="21"/>
      <c r="G71" s="2"/>
    </row>
    <row r="72" spans="1:7" ht="14.25" thickBot="1" x14ac:dyDescent="0.2">
      <c r="A72" s="14" t="s">
        <v>75</v>
      </c>
      <c r="B72" s="10" t="s">
        <v>326</v>
      </c>
      <c r="C72" s="3" t="s">
        <v>324</v>
      </c>
      <c r="D72" s="3">
        <v>2423.7420000000002</v>
      </c>
      <c r="E72" s="17" t="s">
        <v>300</v>
      </c>
      <c r="F72" s="28" t="s">
        <v>588</v>
      </c>
      <c r="G72" s="3"/>
    </row>
    <row r="73" spans="1:7" ht="14.25" thickBot="1" x14ac:dyDescent="0.2">
      <c r="A73" s="14" t="s">
        <v>76</v>
      </c>
      <c r="B73" s="10" t="s">
        <v>327</v>
      </c>
      <c r="C73" s="3" t="s">
        <v>325</v>
      </c>
      <c r="D73" s="3">
        <v>754.86300000000006</v>
      </c>
      <c r="E73" s="3"/>
      <c r="F73" s="28" t="s">
        <v>589</v>
      </c>
      <c r="G73" s="3"/>
    </row>
    <row r="74" spans="1:7" ht="14.25" thickBot="1" x14ac:dyDescent="0.2">
      <c r="A74" s="14" t="s">
        <v>77</v>
      </c>
      <c r="B74" s="12"/>
      <c r="C74" s="2" t="s">
        <v>243</v>
      </c>
      <c r="D74" s="2"/>
      <c r="E74" s="2"/>
      <c r="F74" s="21"/>
      <c r="G74" s="2"/>
    </row>
    <row r="75" spans="1:7" ht="14.25" thickBot="1" x14ac:dyDescent="0.2">
      <c r="A75" s="14" t="s">
        <v>78</v>
      </c>
      <c r="B75" s="10" t="s">
        <v>330</v>
      </c>
      <c r="C75" s="3" t="s">
        <v>328</v>
      </c>
      <c r="D75" s="3">
        <v>650.34299999999996</v>
      </c>
      <c r="E75" s="3"/>
      <c r="F75" s="28" t="s">
        <v>590</v>
      </c>
      <c r="G75" s="3"/>
    </row>
    <row r="76" spans="1:7" ht="14.25" thickBot="1" x14ac:dyDescent="0.2">
      <c r="A76" s="14" t="s">
        <v>79</v>
      </c>
      <c r="B76" s="10" t="s">
        <v>331</v>
      </c>
      <c r="C76" s="3" t="s">
        <v>329</v>
      </c>
      <c r="D76" s="3">
        <v>650.33399999999995</v>
      </c>
      <c r="E76" s="3"/>
      <c r="F76" s="28" t="s">
        <v>591</v>
      </c>
      <c r="G76" s="3"/>
    </row>
    <row r="77" spans="1:7" ht="14.25" thickBot="1" x14ac:dyDescent="0.2">
      <c r="A77" s="14" t="s">
        <v>80</v>
      </c>
      <c r="B77" s="12"/>
      <c r="C77" s="2" t="s">
        <v>243</v>
      </c>
      <c r="D77" s="2"/>
      <c r="E77" s="2"/>
      <c r="F77" s="21"/>
      <c r="G77" s="2"/>
    </row>
    <row r="78" spans="1:7" ht="14.25" thickBot="1" x14ac:dyDescent="0.2">
      <c r="A78" s="14" t="s">
        <v>81</v>
      </c>
      <c r="B78" s="10" t="s">
        <v>333</v>
      </c>
      <c r="C78" s="13" t="s">
        <v>332</v>
      </c>
      <c r="D78" s="13">
        <v>2409.06</v>
      </c>
      <c r="E78" s="17" t="s">
        <v>300</v>
      </c>
      <c r="F78" s="28" t="s">
        <v>592</v>
      </c>
      <c r="G78" s="3"/>
    </row>
    <row r="79" spans="1:7" ht="14.25" thickBot="1" x14ac:dyDescent="0.2">
      <c r="A79" s="14" t="s">
        <v>82</v>
      </c>
      <c r="B79" s="10" t="s">
        <v>335</v>
      </c>
      <c r="C79" s="3" t="s">
        <v>334</v>
      </c>
      <c r="D79" s="3">
        <v>706.952</v>
      </c>
      <c r="E79" s="3"/>
      <c r="F79" s="28" t="s">
        <v>593</v>
      </c>
      <c r="G79" s="3"/>
    </row>
    <row r="80" spans="1:7" ht="14.25" thickBot="1" x14ac:dyDescent="0.2">
      <c r="A80" s="14" t="s">
        <v>83</v>
      </c>
      <c r="B80" s="12"/>
      <c r="C80" s="2" t="s">
        <v>243</v>
      </c>
      <c r="D80" s="2"/>
      <c r="E80" s="2"/>
      <c r="F80" s="21"/>
      <c r="G80" s="2"/>
    </row>
    <row r="81" spans="1:7" ht="14.25" thickBot="1" x14ac:dyDescent="0.2">
      <c r="A81" s="14" t="s">
        <v>84</v>
      </c>
      <c r="B81" s="10" t="s">
        <v>338</v>
      </c>
      <c r="C81" s="3" t="s">
        <v>336</v>
      </c>
      <c r="D81" s="3">
        <v>558.35799999999995</v>
      </c>
      <c r="E81" s="3"/>
      <c r="F81" s="28" t="s">
        <v>594</v>
      </c>
      <c r="G81" s="3"/>
    </row>
    <row r="82" spans="1:7" ht="14.25" thickBot="1" x14ac:dyDescent="0.2">
      <c r="A82" s="14" t="s">
        <v>85</v>
      </c>
      <c r="B82" s="10" t="s">
        <v>339</v>
      </c>
      <c r="C82" s="3" t="s">
        <v>337</v>
      </c>
      <c r="D82" s="3">
        <v>558.45299999999997</v>
      </c>
      <c r="E82" s="3"/>
      <c r="F82" s="28" t="s">
        <v>595</v>
      </c>
      <c r="G82" s="3"/>
    </row>
    <row r="83" spans="1:7" ht="14.25" thickBot="1" x14ac:dyDescent="0.2">
      <c r="A83" s="14" t="s">
        <v>86</v>
      </c>
      <c r="B83" s="12"/>
      <c r="C83" s="2" t="s">
        <v>243</v>
      </c>
      <c r="D83" s="2"/>
      <c r="E83" s="2"/>
      <c r="F83" s="21"/>
      <c r="G83" s="2"/>
    </row>
    <row r="84" spans="1:7" ht="14.25" thickBot="1" x14ac:dyDescent="0.2">
      <c r="A84" s="14" t="s">
        <v>87</v>
      </c>
      <c r="B84" s="10" t="s">
        <v>341</v>
      </c>
      <c r="C84" s="3" t="s">
        <v>340</v>
      </c>
      <c r="D84" s="3">
        <v>1058.8119999999999</v>
      </c>
      <c r="E84" s="17" t="s">
        <v>300</v>
      </c>
      <c r="F84" s="28" t="s">
        <v>596</v>
      </c>
      <c r="G84" s="3"/>
    </row>
    <row r="85" spans="1:7" ht="14.25" thickBot="1" x14ac:dyDescent="0.2">
      <c r="A85" s="14" t="s">
        <v>88</v>
      </c>
      <c r="B85" s="12"/>
      <c r="C85" s="2" t="s">
        <v>243</v>
      </c>
      <c r="D85" s="2"/>
      <c r="E85" s="2"/>
      <c r="F85" s="21"/>
      <c r="G85" s="2"/>
    </row>
    <row r="86" spans="1:7" ht="14.25" thickBot="1" x14ac:dyDescent="0.2">
      <c r="A86" s="14" t="s">
        <v>89</v>
      </c>
      <c r="B86" s="10" t="s">
        <v>348</v>
      </c>
      <c r="C86" s="17" t="s">
        <v>346</v>
      </c>
      <c r="D86" s="3">
        <v>565.38199999999995</v>
      </c>
      <c r="E86" s="3" t="s">
        <v>260</v>
      </c>
      <c r="F86" s="28" t="s">
        <v>597</v>
      </c>
      <c r="G86" s="3"/>
    </row>
    <row r="87" spans="1:7" ht="14.25" thickBot="1" x14ac:dyDescent="0.2">
      <c r="A87" s="14" t="s">
        <v>90</v>
      </c>
      <c r="B87" s="10" t="s">
        <v>349</v>
      </c>
      <c r="C87" s="17" t="s">
        <v>347</v>
      </c>
      <c r="D87" s="3">
        <v>565.63800000000003</v>
      </c>
      <c r="E87" s="3" t="s">
        <v>260</v>
      </c>
      <c r="F87" s="28" t="s">
        <v>598</v>
      </c>
      <c r="G87" s="3"/>
    </row>
    <row r="88" spans="1:7" ht="14.25" thickBot="1" x14ac:dyDescent="0.2">
      <c r="A88" s="14" t="s">
        <v>91</v>
      </c>
      <c r="B88" s="10" t="s">
        <v>350</v>
      </c>
      <c r="C88" s="3" t="s">
        <v>342</v>
      </c>
      <c r="D88" s="3">
        <v>565.029</v>
      </c>
      <c r="E88" s="3" t="s">
        <v>260</v>
      </c>
      <c r="F88" s="28" t="s">
        <v>599</v>
      </c>
      <c r="G88" s="3"/>
    </row>
    <row r="89" spans="1:7" ht="14.25" thickBot="1" x14ac:dyDescent="0.2">
      <c r="A89" s="14" t="s">
        <v>92</v>
      </c>
      <c r="B89" s="10" t="s">
        <v>351</v>
      </c>
      <c r="C89" s="3" t="s">
        <v>343</v>
      </c>
      <c r="D89" s="3">
        <v>565.51</v>
      </c>
      <c r="E89" s="3" t="s">
        <v>260</v>
      </c>
      <c r="F89" s="28" t="s">
        <v>600</v>
      </c>
      <c r="G89" s="3"/>
    </row>
    <row r="90" spans="1:7" ht="14.25" thickBot="1" x14ac:dyDescent="0.2">
      <c r="A90" s="14" t="s">
        <v>93</v>
      </c>
      <c r="B90" s="10" t="s">
        <v>352</v>
      </c>
      <c r="C90" s="3" t="s">
        <v>344</v>
      </c>
      <c r="D90" s="3">
        <v>565.63</v>
      </c>
      <c r="E90" s="3" t="s">
        <v>260</v>
      </c>
      <c r="F90" s="28" t="s">
        <v>601</v>
      </c>
      <c r="G90" s="3"/>
    </row>
    <row r="91" spans="1:7" ht="14.25" thickBot="1" x14ac:dyDescent="0.2">
      <c r="A91" s="14" t="s">
        <v>94</v>
      </c>
      <c r="B91" s="10" t="s">
        <v>353</v>
      </c>
      <c r="C91" s="3" t="s">
        <v>345</v>
      </c>
      <c r="D91" s="3">
        <v>565.149</v>
      </c>
      <c r="E91" s="3" t="s">
        <v>260</v>
      </c>
      <c r="F91" s="28" t="s">
        <v>602</v>
      </c>
      <c r="G91" s="3"/>
    </row>
    <row r="92" spans="1:7" ht="14.25" thickBot="1" x14ac:dyDescent="0.2">
      <c r="A92" s="14" t="s">
        <v>95</v>
      </c>
      <c r="B92" s="12"/>
      <c r="C92" s="2" t="s">
        <v>243</v>
      </c>
      <c r="D92" s="2"/>
      <c r="E92" s="2"/>
      <c r="F92" s="21"/>
      <c r="G92" s="2"/>
    </row>
    <row r="93" spans="1:7" ht="14.25" thickBot="1" x14ac:dyDescent="0.2">
      <c r="A93" s="14" t="s">
        <v>96</v>
      </c>
      <c r="B93" s="10" t="s">
        <v>360</v>
      </c>
      <c r="C93" s="17" t="s">
        <v>359</v>
      </c>
      <c r="D93" s="3">
        <f>139.657+659.436</f>
        <v>799.09300000000007</v>
      </c>
      <c r="E93" s="3" t="s">
        <v>260</v>
      </c>
      <c r="F93" s="28" t="s">
        <v>603</v>
      </c>
      <c r="G93" s="3"/>
    </row>
    <row r="94" spans="1:7" ht="14.25" thickBot="1" x14ac:dyDescent="0.2">
      <c r="A94" s="14" t="s">
        <v>97</v>
      </c>
      <c r="B94" s="10" t="s">
        <v>361</v>
      </c>
      <c r="C94" s="3" t="s">
        <v>354</v>
      </c>
      <c r="D94" s="3">
        <f>156.229+643.29</f>
        <v>799.51900000000001</v>
      </c>
      <c r="E94" s="3" t="s">
        <v>260</v>
      </c>
      <c r="F94" s="28" t="s">
        <v>604</v>
      </c>
      <c r="G94" s="3"/>
    </row>
    <row r="95" spans="1:7" ht="14.25" thickBot="1" x14ac:dyDescent="0.2">
      <c r="A95" s="14" t="s">
        <v>98</v>
      </c>
      <c r="B95" s="10" t="s">
        <v>362</v>
      </c>
      <c r="C95" s="3" t="s">
        <v>355</v>
      </c>
      <c r="D95" s="17">
        <f>139.654+659.472</f>
        <v>799.12599999999998</v>
      </c>
      <c r="E95" s="3" t="s">
        <v>260</v>
      </c>
      <c r="F95" s="28" t="s">
        <v>605</v>
      </c>
      <c r="G95" s="3"/>
    </row>
    <row r="96" spans="1:7" ht="14.25" thickBot="1" x14ac:dyDescent="0.2">
      <c r="A96" s="14" t="s">
        <v>99</v>
      </c>
      <c r="B96" s="10" t="s">
        <v>363</v>
      </c>
      <c r="C96" s="3" t="s">
        <v>356</v>
      </c>
      <c r="D96" s="3">
        <f>643.049+156.572</f>
        <v>799.62099999999998</v>
      </c>
      <c r="E96" s="3" t="s">
        <v>260</v>
      </c>
      <c r="F96" s="28" t="s">
        <v>606</v>
      </c>
      <c r="G96" s="3"/>
    </row>
    <row r="97" spans="1:7" ht="14.25" thickBot="1" x14ac:dyDescent="0.2">
      <c r="A97" s="14" t="s">
        <v>100</v>
      </c>
      <c r="B97" s="10" t="s">
        <v>364</v>
      </c>
      <c r="C97" s="3" t="s">
        <v>357</v>
      </c>
      <c r="D97" s="3">
        <f>139.833+660.061</f>
        <v>799.89400000000001</v>
      </c>
      <c r="E97" s="3" t="s">
        <v>260</v>
      </c>
      <c r="F97" s="28" t="s">
        <v>607</v>
      </c>
      <c r="G97" s="3"/>
    </row>
    <row r="98" spans="1:7" ht="14.25" thickBot="1" x14ac:dyDescent="0.2">
      <c r="A98" s="14" t="s">
        <v>101</v>
      </c>
      <c r="B98" s="10" t="s">
        <v>365</v>
      </c>
      <c r="C98" s="3" t="s">
        <v>358</v>
      </c>
      <c r="D98" s="3">
        <f>156.897+642.558</f>
        <v>799.45499999999993</v>
      </c>
      <c r="E98" s="3" t="s">
        <v>260</v>
      </c>
      <c r="F98" s="28" t="s">
        <v>608</v>
      </c>
      <c r="G98" s="3"/>
    </row>
    <row r="99" spans="1:7" ht="14.25" thickBot="1" x14ac:dyDescent="0.2">
      <c r="A99" s="14" t="s">
        <v>102</v>
      </c>
      <c r="B99" s="12"/>
      <c r="C99" s="2" t="s">
        <v>243</v>
      </c>
      <c r="D99" s="2"/>
      <c r="E99" s="2"/>
      <c r="F99" s="21"/>
      <c r="G99" s="2"/>
    </row>
    <row r="100" spans="1:7" ht="14.25" thickBot="1" x14ac:dyDescent="0.2">
      <c r="A100" s="14" t="s">
        <v>103</v>
      </c>
      <c r="B100" s="10" t="s">
        <v>372</v>
      </c>
      <c r="C100" s="3" t="s">
        <v>366</v>
      </c>
      <c r="D100" s="3">
        <v>700.7</v>
      </c>
      <c r="E100" s="3" t="s">
        <v>260</v>
      </c>
      <c r="F100" s="28" t="s">
        <v>609</v>
      </c>
      <c r="G100" s="3"/>
    </row>
    <row r="101" spans="1:7" ht="14.25" thickBot="1" x14ac:dyDescent="0.2">
      <c r="A101" s="14" t="s">
        <v>104</v>
      </c>
      <c r="B101" s="10" t="s">
        <v>373</v>
      </c>
      <c r="C101" s="3" t="s">
        <v>367</v>
      </c>
      <c r="D101" s="3">
        <v>700.20500000000004</v>
      </c>
      <c r="E101" s="3" t="s">
        <v>260</v>
      </c>
      <c r="F101" s="28" t="s">
        <v>610</v>
      </c>
      <c r="G101" s="3"/>
    </row>
    <row r="102" spans="1:7" ht="14.25" thickBot="1" x14ac:dyDescent="0.2">
      <c r="A102" s="14" t="s">
        <v>105</v>
      </c>
      <c r="B102" s="10" t="s">
        <v>374</v>
      </c>
      <c r="C102" s="3" t="s">
        <v>368</v>
      </c>
      <c r="D102" s="3">
        <v>700.43399999999997</v>
      </c>
      <c r="E102" s="3" t="s">
        <v>260</v>
      </c>
      <c r="F102" s="28" t="s">
        <v>611</v>
      </c>
      <c r="G102" s="3"/>
    </row>
    <row r="103" spans="1:7" ht="14.25" thickBot="1" x14ac:dyDescent="0.2">
      <c r="A103" s="14" t="s">
        <v>106</v>
      </c>
      <c r="B103" s="10" t="s">
        <v>375</v>
      </c>
      <c r="C103" s="3" t="s">
        <v>369</v>
      </c>
      <c r="D103" s="3">
        <v>700.18</v>
      </c>
      <c r="E103" s="3" t="s">
        <v>260</v>
      </c>
      <c r="F103" s="28" t="s">
        <v>612</v>
      </c>
      <c r="G103" s="3"/>
    </row>
    <row r="104" spans="1:7" ht="14.25" thickBot="1" x14ac:dyDescent="0.2">
      <c r="A104" s="14" t="s">
        <v>107</v>
      </c>
      <c r="B104" s="10" t="s">
        <v>376</v>
      </c>
      <c r="C104" s="3" t="s">
        <v>370</v>
      </c>
      <c r="D104" s="3">
        <v>700.327</v>
      </c>
      <c r="E104" s="3" t="s">
        <v>260</v>
      </c>
      <c r="F104" s="28" t="s">
        <v>613</v>
      </c>
      <c r="G104" s="3"/>
    </row>
    <row r="105" spans="1:7" ht="14.25" thickBot="1" x14ac:dyDescent="0.2">
      <c r="A105" s="14" t="s">
        <v>108</v>
      </c>
      <c r="B105" s="10" t="s">
        <v>377</v>
      </c>
      <c r="C105" s="3" t="s">
        <v>371</v>
      </c>
      <c r="D105" s="3">
        <v>700.70399999999995</v>
      </c>
      <c r="E105" s="3" t="s">
        <v>260</v>
      </c>
      <c r="F105" s="28" t="s">
        <v>614</v>
      </c>
      <c r="G105" s="3"/>
    </row>
    <row r="106" spans="1:7" ht="14.25" thickBot="1" x14ac:dyDescent="0.2">
      <c r="A106" s="14" t="s">
        <v>109</v>
      </c>
      <c r="B106" s="12"/>
      <c r="C106" s="2" t="s">
        <v>243</v>
      </c>
      <c r="D106" s="2"/>
      <c r="E106" s="2"/>
      <c r="F106" s="21"/>
      <c r="G106" s="2"/>
    </row>
    <row r="107" spans="1:7" ht="14.25" thickBot="1" x14ac:dyDescent="0.2">
      <c r="A107" s="14" t="s">
        <v>110</v>
      </c>
      <c r="B107" s="10" t="s">
        <v>386</v>
      </c>
      <c r="C107" s="17" t="s">
        <v>385</v>
      </c>
      <c r="D107" s="3">
        <f>139.121+677.892</f>
        <v>817.01300000000003</v>
      </c>
      <c r="E107" s="3" t="s">
        <v>260</v>
      </c>
      <c r="F107" s="28" t="s">
        <v>615</v>
      </c>
      <c r="G107" s="3"/>
    </row>
    <row r="108" spans="1:7" ht="14.25" thickBot="1" x14ac:dyDescent="0.2">
      <c r="A108" s="14" t="s">
        <v>111</v>
      </c>
      <c r="B108" s="10" t="s">
        <v>387</v>
      </c>
      <c r="C108" s="3" t="s">
        <v>378</v>
      </c>
      <c r="D108" s="3">
        <f>157.14+673.081</f>
        <v>830.221</v>
      </c>
      <c r="E108" s="3" t="s">
        <v>260</v>
      </c>
      <c r="F108" s="28" t="s">
        <v>616</v>
      </c>
      <c r="G108" s="3"/>
    </row>
    <row r="109" spans="1:7" ht="14.25" thickBot="1" x14ac:dyDescent="0.2">
      <c r="A109" s="14" t="s">
        <v>112</v>
      </c>
      <c r="B109" s="10" t="s">
        <v>388</v>
      </c>
      <c r="C109" s="3" t="s">
        <v>379</v>
      </c>
      <c r="D109" s="3">
        <f>139.131+691.141</f>
        <v>830.27199999999993</v>
      </c>
      <c r="E109" s="3" t="s">
        <v>260</v>
      </c>
      <c r="F109" s="28" t="s">
        <v>617</v>
      </c>
      <c r="G109" s="3"/>
    </row>
    <row r="110" spans="1:7" ht="14.25" thickBot="1" x14ac:dyDescent="0.2">
      <c r="A110" s="14" t="s">
        <v>113</v>
      </c>
      <c r="B110" s="10" t="s">
        <v>389</v>
      </c>
      <c r="C110" s="3" t="s">
        <v>380</v>
      </c>
      <c r="D110" s="3">
        <f>157.173+674.294</f>
        <v>831.46699999999998</v>
      </c>
      <c r="E110" s="3" t="s">
        <v>260</v>
      </c>
      <c r="F110" s="28" t="s">
        <v>618</v>
      </c>
      <c r="G110" s="3"/>
    </row>
    <row r="111" spans="1:7" ht="14.25" thickBot="1" x14ac:dyDescent="0.2">
      <c r="A111" s="14" t="s">
        <v>114</v>
      </c>
      <c r="B111" s="10" t="s">
        <v>390</v>
      </c>
      <c r="C111" s="3" t="s">
        <v>381</v>
      </c>
      <c r="D111" s="3">
        <f>139.146+691.713</f>
        <v>830.85899999999992</v>
      </c>
      <c r="E111" s="3" t="s">
        <v>260</v>
      </c>
      <c r="F111" s="28" t="s">
        <v>619</v>
      </c>
      <c r="G111" s="3"/>
    </row>
    <row r="112" spans="1:7" ht="14.25" thickBot="1" x14ac:dyDescent="0.2">
      <c r="A112" s="14" t="s">
        <v>115</v>
      </c>
      <c r="B112" s="10" t="s">
        <v>391</v>
      </c>
      <c r="C112" s="3" t="s">
        <v>382</v>
      </c>
      <c r="D112" s="17">
        <f>157.24+673.467</f>
        <v>830.70699999999999</v>
      </c>
      <c r="E112" s="3" t="s">
        <v>260</v>
      </c>
      <c r="F112" s="28" t="s">
        <v>620</v>
      </c>
      <c r="G112" s="3"/>
    </row>
    <row r="113" spans="1:7" ht="14.25" thickBot="1" x14ac:dyDescent="0.2">
      <c r="A113" s="14" t="s">
        <v>116</v>
      </c>
      <c r="B113" s="10" t="s">
        <v>392</v>
      </c>
      <c r="C113" s="3" t="s">
        <v>383</v>
      </c>
      <c r="D113" s="3">
        <v>654.51099999999997</v>
      </c>
      <c r="E113" s="3" t="s">
        <v>260</v>
      </c>
      <c r="F113" s="28" t="s">
        <v>621</v>
      </c>
      <c r="G113" s="3"/>
    </row>
    <row r="114" spans="1:7" ht="14.25" thickBot="1" x14ac:dyDescent="0.2">
      <c r="A114" s="14" t="s">
        <v>117</v>
      </c>
      <c r="B114" s="10" t="s">
        <v>393</v>
      </c>
      <c r="C114" s="3" t="s">
        <v>384</v>
      </c>
      <c r="D114" s="3">
        <v>622.56600000000003</v>
      </c>
      <c r="E114" s="3" t="s">
        <v>260</v>
      </c>
      <c r="F114" s="28" t="s">
        <v>622</v>
      </c>
      <c r="G114" s="3"/>
    </row>
    <row r="115" spans="1:7" ht="14.25" thickBot="1" x14ac:dyDescent="0.2">
      <c r="A115" s="14" t="s">
        <v>118</v>
      </c>
      <c r="B115" s="12"/>
      <c r="C115" s="2" t="s">
        <v>243</v>
      </c>
      <c r="D115" s="2"/>
      <c r="E115" s="2"/>
      <c r="F115" s="21"/>
      <c r="G115" s="2"/>
    </row>
    <row r="116" spans="1:7" ht="14.25" thickBot="1" x14ac:dyDescent="0.2">
      <c r="A116" s="14" t="s">
        <v>119</v>
      </c>
      <c r="B116" s="10" t="s">
        <v>6</v>
      </c>
      <c r="C116" s="3"/>
      <c r="D116" s="3"/>
      <c r="E116" s="3"/>
      <c r="F116" s="20"/>
      <c r="G116" s="3"/>
    </row>
    <row r="117" spans="1:7" ht="14.25" thickBot="1" x14ac:dyDescent="0.2">
      <c r="A117" s="14" t="s">
        <v>120</v>
      </c>
      <c r="B117" s="10" t="s">
        <v>6</v>
      </c>
      <c r="C117" s="3"/>
      <c r="D117" s="3"/>
      <c r="E117" s="3"/>
      <c r="F117" s="20"/>
      <c r="G117" s="3"/>
    </row>
    <row r="118" spans="1:7" ht="14.25" thickBot="1" x14ac:dyDescent="0.2">
      <c r="A118" s="14" t="s">
        <v>121</v>
      </c>
      <c r="B118" s="10" t="s">
        <v>6</v>
      </c>
      <c r="C118" s="3"/>
      <c r="D118" s="3"/>
      <c r="E118" s="3"/>
      <c r="F118" s="20"/>
      <c r="G118" s="3"/>
    </row>
    <row r="119" spans="1:7" ht="14.25" thickBot="1" x14ac:dyDescent="0.2">
      <c r="A119" s="14" t="s">
        <v>122</v>
      </c>
      <c r="B119" s="10" t="s">
        <v>6</v>
      </c>
      <c r="C119" s="3"/>
      <c r="D119" s="3"/>
      <c r="E119" s="3"/>
      <c r="F119" s="20"/>
      <c r="G119" s="3"/>
    </row>
    <row r="120" spans="1:7" ht="14.25" thickBot="1" x14ac:dyDescent="0.2">
      <c r="A120" s="14" t="s">
        <v>123</v>
      </c>
      <c r="B120" s="10" t="s">
        <v>6</v>
      </c>
      <c r="C120" s="3"/>
      <c r="D120" s="3"/>
      <c r="E120" s="3"/>
      <c r="F120" s="20"/>
      <c r="G120" s="3"/>
    </row>
    <row r="121" spans="1:7" ht="14.25" thickBot="1" x14ac:dyDescent="0.2">
      <c r="A121" s="14" t="s">
        <v>124</v>
      </c>
      <c r="B121" s="10" t="s">
        <v>6</v>
      </c>
      <c r="C121" s="3"/>
      <c r="D121" s="3"/>
      <c r="E121" s="3"/>
      <c r="F121" s="20"/>
      <c r="G121" s="3"/>
    </row>
    <row r="122" spans="1:7" ht="14.25" thickBot="1" x14ac:dyDescent="0.2">
      <c r="A122" s="18" t="s">
        <v>4</v>
      </c>
      <c r="B122" s="10" t="s">
        <v>6</v>
      </c>
      <c r="C122" s="3"/>
      <c r="D122" s="3"/>
      <c r="E122" s="3"/>
      <c r="F122" s="20"/>
      <c r="G122" s="3"/>
    </row>
    <row r="123" spans="1:7" ht="14.25" thickBot="1" x14ac:dyDescent="0.2">
      <c r="A123" s="18" t="s">
        <v>5</v>
      </c>
      <c r="B123" s="10" t="s">
        <v>6</v>
      </c>
      <c r="C123" s="3"/>
      <c r="D123" s="3"/>
      <c r="E123" s="3"/>
      <c r="F123" s="20"/>
      <c r="G123" s="3"/>
    </row>
    <row r="124" spans="1:7" ht="14.25" thickBot="1" x14ac:dyDescent="0.2">
      <c r="A124" s="18" t="s">
        <v>125</v>
      </c>
      <c r="B124" s="10" t="s">
        <v>6</v>
      </c>
      <c r="C124" s="3"/>
      <c r="D124" s="3"/>
      <c r="E124" s="3"/>
      <c r="F124" s="20"/>
      <c r="G124" s="3"/>
    </row>
    <row r="125" spans="1:7" ht="14.25" thickBot="1" x14ac:dyDescent="0.2">
      <c r="A125" s="18" t="s">
        <v>126</v>
      </c>
      <c r="B125" s="10" t="s">
        <v>6</v>
      </c>
      <c r="C125" s="3"/>
      <c r="D125" s="3"/>
      <c r="E125" s="3"/>
      <c r="F125" s="20"/>
      <c r="G125" s="3"/>
    </row>
    <row r="126" spans="1:7" ht="14.25" thickBot="1" x14ac:dyDescent="0.2">
      <c r="A126" s="18" t="s">
        <v>127</v>
      </c>
      <c r="B126" s="10" t="s">
        <v>6</v>
      </c>
      <c r="C126" s="3"/>
      <c r="D126" s="3"/>
      <c r="E126" s="3"/>
      <c r="F126" s="20"/>
      <c r="G126" s="3"/>
    </row>
    <row r="127" spans="1:7" ht="14.25" thickBot="1" x14ac:dyDescent="0.2">
      <c r="A127" s="18" t="s">
        <v>128</v>
      </c>
      <c r="B127" s="10" t="s">
        <v>6</v>
      </c>
      <c r="C127" s="3"/>
      <c r="D127" s="3"/>
      <c r="E127" s="3"/>
      <c r="F127" s="20"/>
      <c r="G127" s="3"/>
    </row>
    <row r="128" spans="1:7" ht="14.25" thickBot="1" x14ac:dyDescent="0.2">
      <c r="A128" s="18" t="s">
        <v>129</v>
      </c>
      <c r="B128" s="10" t="s">
        <v>6</v>
      </c>
      <c r="C128" s="3"/>
      <c r="D128" s="3"/>
      <c r="E128" s="3"/>
      <c r="F128" s="20"/>
      <c r="G128" s="3"/>
    </row>
    <row r="129" spans="1:7" ht="14.25" thickBot="1" x14ac:dyDescent="0.2">
      <c r="A129" s="18" t="s">
        <v>130</v>
      </c>
      <c r="B129" s="12"/>
      <c r="C129" s="2" t="s">
        <v>243</v>
      </c>
      <c r="D129" s="2"/>
      <c r="E129" s="2"/>
      <c r="F129" s="21"/>
      <c r="G129" s="2"/>
    </row>
    <row r="130" spans="1:7" ht="14.25" thickBot="1" x14ac:dyDescent="0.2">
      <c r="A130" s="18" t="s">
        <v>131</v>
      </c>
      <c r="B130" s="10" t="s">
        <v>403</v>
      </c>
      <c r="C130" s="17" t="s">
        <v>703</v>
      </c>
      <c r="D130" s="17">
        <v>950.87300000000005</v>
      </c>
      <c r="E130" s="3"/>
      <c r="F130" s="28" t="s">
        <v>623</v>
      </c>
      <c r="G130" s="3"/>
    </row>
    <row r="131" spans="1:7" ht="14.25" thickBot="1" x14ac:dyDescent="0.2">
      <c r="A131" s="18" t="s">
        <v>132</v>
      </c>
      <c r="B131" s="10" t="s">
        <v>404</v>
      </c>
      <c r="C131" s="3" t="s">
        <v>394</v>
      </c>
      <c r="D131" s="3">
        <v>951.03800000000001</v>
      </c>
      <c r="E131" s="3"/>
      <c r="F131" s="28" t="s">
        <v>624</v>
      </c>
      <c r="G131" s="3"/>
    </row>
    <row r="132" spans="1:7" ht="14.25" thickBot="1" x14ac:dyDescent="0.2">
      <c r="A132" s="18" t="s">
        <v>133</v>
      </c>
      <c r="B132" s="12"/>
      <c r="C132" s="2" t="s">
        <v>243</v>
      </c>
      <c r="D132" s="2"/>
      <c r="E132" s="2"/>
      <c r="F132" s="21"/>
      <c r="G132" s="2"/>
    </row>
    <row r="133" spans="1:7" ht="14.25" thickBot="1" x14ac:dyDescent="0.2">
      <c r="A133" s="18" t="s">
        <v>134</v>
      </c>
      <c r="B133" s="10" t="s">
        <v>405</v>
      </c>
      <c r="C133" s="3" t="s">
        <v>395</v>
      </c>
      <c r="D133" s="3">
        <v>951.61800000000005</v>
      </c>
      <c r="E133" s="3"/>
      <c r="F133" s="28" t="s">
        <v>625</v>
      </c>
      <c r="G133" s="3"/>
    </row>
    <row r="134" spans="1:7" ht="14.25" thickBot="1" x14ac:dyDescent="0.2">
      <c r="A134" s="18" t="s">
        <v>135</v>
      </c>
      <c r="B134" s="10" t="s">
        <v>406</v>
      </c>
      <c r="C134" s="3" t="s">
        <v>396</v>
      </c>
      <c r="D134" s="3">
        <v>951.61800000000005</v>
      </c>
      <c r="E134" s="3"/>
      <c r="F134" s="28" t="s">
        <v>626</v>
      </c>
      <c r="G134" s="3"/>
    </row>
    <row r="135" spans="1:7" ht="14.25" thickBot="1" x14ac:dyDescent="0.2">
      <c r="A135" s="18" t="s">
        <v>136</v>
      </c>
      <c r="B135" s="12"/>
      <c r="C135" s="2" t="s">
        <v>243</v>
      </c>
      <c r="D135" s="2"/>
      <c r="E135" s="2"/>
      <c r="F135" s="21"/>
      <c r="G135" s="2"/>
    </row>
    <row r="136" spans="1:7" ht="14.25" thickBot="1" x14ac:dyDescent="0.2">
      <c r="A136" s="18" t="s">
        <v>137</v>
      </c>
      <c r="B136" s="10" t="s">
        <v>407</v>
      </c>
      <c r="C136" s="3" t="s">
        <v>397</v>
      </c>
      <c r="D136" s="3">
        <v>951.077</v>
      </c>
      <c r="E136" s="3"/>
      <c r="F136" s="28" t="s">
        <v>627</v>
      </c>
      <c r="G136" s="3"/>
    </row>
    <row r="137" spans="1:7" ht="14.25" thickBot="1" x14ac:dyDescent="0.2">
      <c r="A137" s="18" t="s">
        <v>138</v>
      </c>
      <c r="B137" s="10" t="s">
        <v>408</v>
      </c>
      <c r="C137" s="3" t="s">
        <v>398</v>
      </c>
      <c r="D137" s="3">
        <v>951.077</v>
      </c>
      <c r="E137" s="3"/>
      <c r="F137" s="28" t="s">
        <v>628</v>
      </c>
      <c r="G137" s="3"/>
    </row>
    <row r="138" spans="1:7" ht="14.25" thickBot="1" x14ac:dyDescent="0.2">
      <c r="A138" s="18" t="s">
        <v>139</v>
      </c>
      <c r="B138" s="12"/>
      <c r="C138" s="2" t="s">
        <v>243</v>
      </c>
      <c r="D138" s="2"/>
      <c r="E138" s="2"/>
      <c r="F138" s="21"/>
      <c r="G138" s="2"/>
    </row>
    <row r="139" spans="1:7" ht="14.25" thickBot="1" x14ac:dyDescent="0.2">
      <c r="A139" s="18" t="s">
        <v>140</v>
      </c>
      <c r="B139" s="10" t="s">
        <v>409</v>
      </c>
      <c r="C139" s="3" t="s">
        <v>399</v>
      </c>
      <c r="D139" s="3">
        <v>951.79700000000003</v>
      </c>
      <c r="E139" s="3"/>
      <c r="F139" s="28" t="s">
        <v>629</v>
      </c>
      <c r="G139" s="3"/>
    </row>
    <row r="140" spans="1:7" ht="14.25" thickBot="1" x14ac:dyDescent="0.2">
      <c r="A140" s="18" t="s">
        <v>141</v>
      </c>
      <c r="B140" s="10" t="s">
        <v>410</v>
      </c>
      <c r="C140" s="3" t="s">
        <v>400</v>
      </c>
      <c r="D140" s="3">
        <v>952.52300000000002</v>
      </c>
      <c r="E140" s="3"/>
      <c r="F140" s="28" t="s">
        <v>630</v>
      </c>
      <c r="G140" s="3"/>
    </row>
    <row r="141" spans="1:7" ht="14.25" thickBot="1" x14ac:dyDescent="0.2">
      <c r="A141" s="18" t="s">
        <v>142</v>
      </c>
      <c r="B141" s="12"/>
      <c r="C141" s="2" t="s">
        <v>243</v>
      </c>
      <c r="D141" s="2"/>
      <c r="E141" s="2"/>
      <c r="F141" s="21"/>
      <c r="G141" s="2"/>
    </row>
    <row r="142" spans="1:7" ht="14.25" thickBot="1" x14ac:dyDescent="0.2">
      <c r="A142" s="18" t="s">
        <v>143</v>
      </c>
      <c r="B142" s="10" t="s">
        <v>411</v>
      </c>
      <c r="C142" s="3" t="s">
        <v>401</v>
      </c>
      <c r="D142" s="3">
        <v>951.45500000000004</v>
      </c>
      <c r="E142" s="3"/>
      <c r="F142" s="28" t="s">
        <v>631</v>
      </c>
      <c r="G142" s="3"/>
    </row>
    <row r="143" spans="1:7" ht="14.25" thickBot="1" x14ac:dyDescent="0.2">
      <c r="A143" s="18" t="s">
        <v>144</v>
      </c>
      <c r="B143" s="10" t="s">
        <v>412</v>
      </c>
      <c r="C143" s="3" t="s">
        <v>402</v>
      </c>
      <c r="D143" s="3">
        <v>951.45500000000004</v>
      </c>
      <c r="E143" s="3"/>
      <c r="F143" s="28" t="s">
        <v>632</v>
      </c>
      <c r="G143" s="3"/>
    </row>
    <row r="144" spans="1:7" ht="14.25" thickBot="1" x14ac:dyDescent="0.2">
      <c r="A144" s="18" t="s">
        <v>145</v>
      </c>
      <c r="B144" s="12"/>
      <c r="C144" s="2" t="s">
        <v>243</v>
      </c>
      <c r="D144" s="2"/>
      <c r="E144" s="2"/>
      <c r="F144" s="21"/>
      <c r="G144" s="2"/>
    </row>
    <row r="145" spans="1:7" ht="14.25" thickBot="1" x14ac:dyDescent="0.2">
      <c r="A145" s="18" t="s">
        <v>146</v>
      </c>
      <c r="B145" s="10" t="s">
        <v>422</v>
      </c>
      <c r="C145" s="3" t="s">
        <v>413</v>
      </c>
      <c r="D145" s="3">
        <v>1333.01</v>
      </c>
      <c r="E145" s="3" t="s">
        <v>260</v>
      </c>
      <c r="F145" s="28" t="s">
        <v>633</v>
      </c>
      <c r="G145" s="3"/>
    </row>
    <row r="146" spans="1:7" ht="14.25" thickBot="1" x14ac:dyDescent="0.2">
      <c r="A146" s="18" t="s">
        <v>147</v>
      </c>
      <c r="B146" s="10" t="s">
        <v>423</v>
      </c>
      <c r="C146" s="3" t="s">
        <v>414</v>
      </c>
      <c r="D146" s="3">
        <v>1205.921</v>
      </c>
      <c r="E146" s="3" t="s">
        <v>260</v>
      </c>
      <c r="F146" s="28" t="s">
        <v>634</v>
      </c>
      <c r="G146" s="3"/>
    </row>
    <row r="147" spans="1:7" ht="14.25" thickBot="1" x14ac:dyDescent="0.2">
      <c r="A147" s="18" t="s">
        <v>148</v>
      </c>
      <c r="B147" s="10" t="s">
        <v>424</v>
      </c>
      <c r="C147" s="3" t="s">
        <v>415</v>
      </c>
      <c r="D147" s="3">
        <v>1226.546</v>
      </c>
      <c r="E147" s="3" t="s">
        <v>260</v>
      </c>
      <c r="F147" s="28" t="s">
        <v>635</v>
      </c>
      <c r="G147" s="3"/>
    </row>
    <row r="148" spans="1:7" ht="14.25" thickBot="1" x14ac:dyDescent="0.2">
      <c r="A148" s="18" t="s">
        <v>149</v>
      </c>
      <c r="B148" s="10" t="s">
        <v>425</v>
      </c>
      <c r="C148" s="3" t="s">
        <v>416</v>
      </c>
      <c r="D148" s="3">
        <v>1107.4870000000001</v>
      </c>
      <c r="E148" s="3" t="s">
        <v>260</v>
      </c>
      <c r="F148" s="28" t="s">
        <v>636</v>
      </c>
      <c r="G148" s="3"/>
    </row>
    <row r="149" spans="1:7" ht="14.25" thickBot="1" x14ac:dyDescent="0.2">
      <c r="A149" s="18" t="s">
        <v>150</v>
      </c>
      <c r="B149" s="10" t="s">
        <v>426</v>
      </c>
      <c r="C149" s="3" t="s">
        <v>417</v>
      </c>
      <c r="D149" s="3">
        <v>1022.643</v>
      </c>
      <c r="E149" s="3" t="s">
        <v>260</v>
      </c>
      <c r="F149" s="28" t="s">
        <v>637</v>
      </c>
      <c r="G149" s="3"/>
    </row>
    <row r="150" spans="1:7" ht="14.25" thickBot="1" x14ac:dyDescent="0.2">
      <c r="A150" s="18" t="s">
        <v>151</v>
      </c>
      <c r="B150" s="10" t="s">
        <v>427</v>
      </c>
      <c r="C150" s="3" t="s">
        <v>418</v>
      </c>
      <c r="D150" s="3">
        <v>1013.414</v>
      </c>
      <c r="E150" s="3" t="s">
        <v>260</v>
      </c>
      <c r="F150" s="28" t="s">
        <v>638</v>
      </c>
      <c r="G150" s="3"/>
    </row>
    <row r="151" spans="1:7" ht="14.25" thickBot="1" x14ac:dyDescent="0.2">
      <c r="A151" s="18" t="s">
        <v>152</v>
      </c>
      <c r="B151" s="10" t="s">
        <v>428</v>
      </c>
      <c r="C151" s="3" t="s">
        <v>419</v>
      </c>
      <c r="D151" s="3">
        <v>1044.7950000000001</v>
      </c>
      <c r="E151" s="3" t="s">
        <v>260</v>
      </c>
      <c r="F151" s="28" t="s">
        <v>639</v>
      </c>
      <c r="G151" s="3"/>
    </row>
    <row r="152" spans="1:7" ht="14.25" thickBot="1" x14ac:dyDescent="0.2">
      <c r="A152" s="18" t="s">
        <v>153</v>
      </c>
      <c r="B152" s="10" t="s">
        <v>429</v>
      </c>
      <c r="C152" s="3" t="s">
        <v>420</v>
      </c>
      <c r="D152" s="3">
        <v>997.94</v>
      </c>
      <c r="E152" s="3" t="s">
        <v>260</v>
      </c>
      <c r="F152" s="28" t="s">
        <v>640</v>
      </c>
      <c r="G152" s="3"/>
    </row>
    <row r="153" spans="1:7" ht="14.25" thickBot="1" x14ac:dyDescent="0.2">
      <c r="A153" s="18" t="s">
        <v>154</v>
      </c>
      <c r="B153" s="10" t="s">
        <v>430</v>
      </c>
      <c r="C153" s="3" t="s">
        <v>421</v>
      </c>
      <c r="D153" s="3">
        <v>986.80399999999997</v>
      </c>
      <c r="E153" s="3" t="s">
        <v>260</v>
      </c>
      <c r="F153" s="28" t="s">
        <v>641</v>
      </c>
      <c r="G153" s="3"/>
    </row>
    <row r="154" spans="1:7" ht="14.25" thickBot="1" x14ac:dyDescent="0.2">
      <c r="A154" s="18" t="s">
        <v>155</v>
      </c>
      <c r="B154" s="12"/>
      <c r="C154" s="2" t="s">
        <v>243</v>
      </c>
      <c r="D154" s="2"/>
      <c r="E154" s="2"/>
      <c r="F154" s="21"/>
      <c r="G154" s="2"/>
    </row>
    <row r="155" spans="1:7" ht="14.25" thickBot="1" x14ac:dyDescent="0.2">
      <c r="A155" s="18" t="s">
        <v>156</v>
      </c>
      <c r="B155" s="10" t="s">
        <v>437</v>
      </c>
      <c r="C155" s="3" t="s">
        <v>431</v>
      </c>
      <c r="D155" s="3">
        <v>1054.441</v>
      </c>
      <c r="E155" s="3" t="s">
        <v>260</v>
      </c>
      <c r="F155" s="28" t="s">
        <v>642</v>
      </c>
      <c r="G155" s="3"/>
    </row>
    <row r="156" spans="1:7" ht="14.25" thickBot="1" x14ac:dyDescent="0.2">
      <c r="A156" s="18" t="s">
        <v>157</v>
      </c>
      <c r="B156" s="10" t="s">
        <v>438</v>
      </c>
      <c r="C156" s="3" t="s">
        <v>432</v>
      </c>
      <c r="D156" s="3">
        <v>944.87300000000005</v>
      </c>
      <c r="E156" s="3" t="s">
        <v>260</v>
      </c>
      <c r="F156" s="28" t="s">
        <v>643</v>
      </c>
      <c r="G156" s="3"/>
    </row>
    <row r="157" spans="1:7" ht="14.25" thickBot="1" x14ac:dyDescent="0.2">
      <c r="A157" s="18" t="s">
        <v>158</v>
      </c>
      <c r="B157" s="10" t="s">
        <v>439</v>
      </c>
      <c r="C157" s="3" t="s">
        <v>433</v>
      </c>
      <c r="D157" s="3">
        <v>974.99800000000005</v>
      </c>
      <c r="E157" s="3" t="s">
        <v>260</v>
      </c>
      <c r="F157" s="28" t="s">
        <v>644</v>
      </c>
      <c r="G157" s="3"/>
    </row>
    <row r="158" spans="1:7" ht="14.25" thickBot="1" x14ac:dyDescent="0.2">
      <c r="A158" s="18" t="s">
        <v>159</v>
      </c>
      <c r="B158" s="10" t="s">
        <v>440</v>
      </c>
      <c r="C158" s="3" t="s">
        <v>434</v>
      </c>
      <c r="D158" s="4">
        <v>960.827</v>
      </c>
      <c r="E158" s="3" t="s">
        <v>260</v>
      </c>
      <c r="F158" s="28" t="s">
        <v>645</v>
      </c>
      <c r="G158" s="3"/>
    </row>
    <row r="159" spans="1:7" ht="14.25" thickBot="1" x14ac:dyDescent="0.2">
      <c r="A159" s="18" t="s">
        <v>160</v>
      </c>
      <c r="B159" s="10" t="s">
        <v>441</v>
      </c>
      <c r="C159" s="3" t="s">
        <v>435</v>
      </c>
      <c r="D159" s="3">
        <v>952.25699999999995</v>
      </c>
      <c r="E159" s="3" t="s">
        <v>260</v>
      </c>
      <c r="F159" s="28" t="s">
        <v>646</v>
      </c>
      <c r="G159" s="3"/>
    </row>
    <row r="160" spans="1:7" ht="14.25" thickBot="1" x14ac:dyDescent="0.2">
      <c r="A160" s="18" t="s">
        <v>161</v>
      </c>
      <c r="B160" s="10" t="s">
        <v>442</v>
      </c>
      <c r="C160" s="3" t="s">
        <v>436</v>
      </c>
      <c r="D160" s="3">
        <v>1024.4860000000001</v>
      </c>
      <c r="E160" s="3" t="s">
        <v>260</v>
      </c>
      <c r="F160" s="28" t="s">
        <v>647</v>
      </c>
      <c r="G160" s="3"/>
    </row>
    <row r="161" spans="1:7" ht="14.25" thickBot="1" x14ac:dyDescent="0.2">
      <c r="A161" s="18" t="s">
        <v>162</v>
      </c>
      <c r="B161" s="12"/>
      <c r="C161" s="2" t="s">
        <v>243</v>
      </c>
      <c r="D161" s="2"/>
      <c r="E161" s="2"/>
      <c r="F161" s="21"/>
      <c r="G161" s="2"/>
    </row>
    <row r="162" spans="1:7" ht="14.25" thickBot="1" x14ac:dyDescent="0.2">
      <c r="A162" s="18" t="s">
        <v>163</v>
      </c>
      <c r="B162" s="10" t="s">
        <v>454</v>
      </c>
      <c r="C162" s="3" t="s">
        <v>443</v>
      </c>
      <c r="D162" s="3">
        <v>968.577</v>
      </c>
      <c r="E162" s="17" t="s">
        <v>300</v>
      </c>
      <c r="F162" s="28" t="s">
        <v>648</v>
      </c>
      <c r="G162" s="3"/>
    </row>
    <row r="163" spans="1:7" ht="14.25" thickBot="1" x14ac:dyDescent="0.2">
      <c r="A163" s="18" t="s">
        <v>164</v>
      </c>
      <c r="B163" s="10" t="s">
        <v>455</v>
      </c>
      <c r="C163" s="3" t="s">
        <v>444</v>
      </c>
      <c r="D163" s="3">
        <v>932.58199999999999</v>
      </c>
      <c r="E163" s="17" t="s">
        <v>300</v>
      </c>
      <c r="F163" s="28" t="s">
        <v>649</v>
      </c>
      <c r="G163" s="3"/>
    </row>
    <row r="164" spans="1:7" ht="14.25" thickBot="1" x14ac:dyDescent="0.2">
      <c r="A164" s="18" t="s">
        <v>165</v>
      </c>
      <c r="B164" s="10" t="s">
        <v>456</v>
      </c>
      <c r="C164" s="3" t="s">
        <v>445</v>
      </c>
      <c r="D164" s="3">
        <v>940.298</v>
      </c>
      <c r="E164" s="17" t="s">
        <v>300</v>
      </c>
      <c r="F164" s="28" t="s">
        <v>650</v>
      </c>
      <c r="G164" s="3"/>
    </row>
    <row r="165" spans="1:7" ht="14.25" thickBot="1" x14ac:dyDescent="0.2">
      <c r="A165" s="18" t="s">
        <v>166</v>
      </c>
      <c r="B165" s="10" t="s">
        <v>457</v>
      </c>
      <c r="C165" s="3" t="s">
        <v>446</v>
      </c>
      <c r="D165" s="3">
        <v>919.41399999999999</v>
      </c>
      <c r="E165" s="17" t="s">
        <v>300</v>
      </c>
      <c r="F165" s="28" t="s">
        <v>651</v>
      </c>
      <c r="G165" s="3"/>
    </row>
    <row r="166" spans="1:7" ht="14.25" thickBot="1" x14ac:dyDescent="0.2">
      <c r="A166" s="18" t="s">
        <v>167</v>
      </c>
      <c r="B166" s="10" t="s">
        <v>458</v>
      </c>
      <c r="C166" s="3" t="s">
        <v>447</v>
      </c>
      <c r="D166" s="3">
        <v>949.971</v>
      </c>
      <c r="E166" s="17" t="s">
        <v>300</v>
      </c>
      <c r="F166" s="28" t="s">
        <v>652</v>
      </c>
      <c r="G166" s="3"/>
    </row>
    <row r="167" spans="1:7" ht="14.25" thickBot="1" x14ac:dyDescent="0.2">
      <c r="A167" s="18" t="s">
        <v>168</v>
      </c>
      <c r="B167" s="10" t="s">
        <v>459</v>
      </c>
      <c r="C167" s="3" t="s">
        <v>448</v>
      </c>
      <c r="D167" s="3">
        <v>990.13800000000003</v>
      </c>
      <c r="E167" s="17" t="s">
        <v>300</v>
      </c>
      <c r="F167" s="28" t="s">
        <v>653</v>
      </c>
      <c r="G167" s="3"/>
    </row>
    <row r="168" spans="1:7" ht="14.25" thickBot="1" x14ac:dyDescent="0.2">
      <c r="A168" s="18" t="s">
        <v>169</v>
      </c>
      <c r="B168" s="12"/>
      <c r="C168" s="2" t="s">
        <v>243</v>
      </c>
      <c r="D168" s="2"/>
      <c r="E168" s="2"/>
      <c r="F168" s="21"/>
      <c r="G168" s="2"/>
    </row>
    <row r="169" spans="1:7" ht="14.25" thickBot="1" x14ac:dyDescent="0.2">
      <c r="A169" s="18" t="s">
        <v>170</v>
      </c>
      <c r="B169" s="10" t="s">
        <v>460</v>
      </c>
      <c r="C169" s="3" t="s">
        <v>449</v>
      </c>
      <c r="D169" s="3">
        <v>1029.4760000000001</v>
      </c>
      <c r="E169" s="17" t="s">
        <v>300</v>
      </c>
      <c r="F169" s="28" t="s">
        <v>654</v>
      </c>
      <c r="G169" s="3"/>
    </row>
    <row r="170" spans="1:7" ht="14.25" thickBot="1" x14ac:dyDescent="0.2">
      <c r="A170" s="18" t="s">
        <v>171</v>
      </c>
      <c r="B170" s="10" t="s">
        <v>461</v>
      </c>
      <c r="C170" s="3" t="s">
        <v>450</v>
      </c>
      <c r="D170" s="3">
        <v>1041.2739999999999</v>
      </c>
      <c r="E170" s="17" t="s">
        <v>300</v>
      </c>
      <c r="F170" s="28" t="s">
        <v>655</v>
      </c>
      <c r="G170" s="3"/>
    </row>
    <row r="171" spans="1:7" ht="14.25" thickBot="1" x14ac:dyDescent="0.2">
      <c r="A171" s="18" t="s">
        <v>172</v>
      </c>
      <c r="B171" s="10" t="s">
        <v>462</v>
      </c>
      <c r="C171" s="3" t="s">
        <v>451</v>
      </c>
      <c r="D171" s="3">
        <v>1081.3879999999999</v>
      </c>
      <c r="E171" s="17" t="s">
        <v>300</v>
      </c>
      <c r="F171" s="28" t="s">
        <v>656</v>
      </c>
      <c r="G171" s="3"/>
    </row>
    <row r="172" spans="1:7" ht="14.25" thickBot="1" x14ac:dyDescent="0.2">
      <c r="A172" s="18" t="s">
        <v>173</v>
      </c>
      <c r="B172" s="10" t="s">
        <v>463</v>
      </c>
      <c r="C172" s="3" t="s">
        <v>452</v>
      </c>
      <c r="D172" s="3">
        <v>1043.6030000000001</v>
      </c>
      <c r="E172" s="17" t="s">
        <v>300</v>
      </c>
      <c r="F172" s="28" t="s">
        <v>657</v>
      </c>
      <c r="G172" s="3"/>
    </row>
    <row r="173" spans="1:7" ht="14.25" thickBot="1" x14ac:dyDescent="0.2">
      <c r="A173" s="18" t="s">
        <v>174</v>
      </c>
      <c r="B173" s="10" t="s">
        <v>464</v>
      </c>
      <c r="C173" s="3" t="s">
        <v>453</v>
      </c>
      <c r="D173" s="3">
        <f>554.652+660.607</f>
        <v>1215.259</v>
      </c>
      <c r="E173" s="17" t="s">
        <v>300</v>
      </c>
      <c r="F173" s="28" t="s">
        <v>658</v>
      </c>
      <c r="G173" s="3"/>
    </row>
    <row r="174" spans="1:7" ht="14.25" thickBot="1" x14ac:dyDescent="0.2">
      <c r="A174" s="18" t="s">
        <v>175</v>
      </c>
      <c r="B174" s="12"/>
      <c r="C174" s="2" t="s">
        <v>243</v>
      </c>
      <c r="D174" s="2"/>
      <c r="E174" s="2"/>
      <c r="F174" s="21"/>
      <c r="G174" s="2"/>
    </row>
    <row r="175" spans="1:7" ht="14.25" thickBot="1" x14ac:dyDescent="0.2">
      <c r="A175" s="18" t="s">
        <v>176</v>
      </c>
      <c r="B175" s="10" t="s">
        <v>6</v>
      </c>
      <c r="C175" s="3"/>
      <c r="E175" s="3"/>
      <c r="F175" s="20"/>
      <c r="G175" s="3"/>
    </row>
    <row r="176" spans="1:7" ht="14.25" thickBot="1" x14ac:dyDescent="0.2">
      <c r="A176" s="18" t="s">
        <v>177</v>
      </c>
      <c r="B176" s="10" t="s">
        <v>6</v>
      </c>
      <c r="C176" s="3"/>
      <c r="D176" s="3"/>
      <c r="E176" s="3"/>
      <c r="F176" s="20"/>
      <c r="G176" s="3"/>
    </row>
    <row r="177" spans="1:7" ht="14.25" thickBot="1" x14ac:dyDescent="0.2">
      <c r="A177" s="18" t="s">
        <v>178</v>
      </c>
      <c r="B177" s="10" t="s">
        <v>6</v>
      </c>
      <c r="C177" s="3"/>
      <c r="D177" s="3"/>
      <c r="E177" s="3"/>
      <c r="F177" s="20"/>
      <c r="G177" s="3"/>
    </row>
    <row r="178" spans="1:7" ht="14.25" thickBot="1" x14ac:dyDescent="0.2">
      <c r="A178" s="18" t="s">
        <v>179</v>
      </c>
      <c r="B178" s="10" t="s">
        <v>6</v>
      </c>
      <c r="C178" s="3"/>
      <c r="D178" s="3"/>
      <c r="E178" s="3"/>
      <c r="F178" s="20"/>
      <c r="G178" s="3"/>
    </row>
    <row r="179" spans="1:7" ht="14.25" thickBot="1" x14ac:dyDescent="0.2">
      <c r="A179" s="18" t="s">
        <v>180</v>
      </c>
      <c r="B179" s="10" t="s">
        <v>6</v>
      </c>
      <c r="C179" s="3"/>
      <c r="D179" s="3"/>
      <c r="E179" s="3"/>
      <c r="F179" s="20"/>
      <c r="G179" s="3"/>
    </row>
    <row r="180" spans="1:7" ht="14.25" thickBot="1" x14ac:dyDescent="0.2">
      <c r="A180" s="18" t="s">
        <v>181</v>
      </c>
      <c r="B180" s="10" t="s">
        <v>6</v>
      </c>
      <c r="C180" s="3"/>
      <c r="D180" s="3"/>
      <c r="E180" s="3"/>
      <c r="F180" s="20"/>
      <c r="G180" s="3"/>
    </row>
    <row r="181" spans="1:7" ht="14.25" thickBot="1" x14ac:dyDescent="0.2">
      <c r="A181" s="18" t="s">
        <v>182</v>
      </c>
      <c r="B181" s="10" t="s">
        <v>6</v>
      </c>
      <c r="C181" s="3"/>
      <c r="D181" s="3"/>
      <c r="E181" s="3"/>
      <c r="F181" s="20"/>
      <c r="G181" s="3"/>
    </row>
    <row r="182" spans="1:7" ht="14.25" thickBot="1" x14ac:dyDescent="0.2">
      <c r="A182" s="18" t="s">
        <v>183</v>
      </c>
      <c r="B182" s="12"/>
      <c r="C182" s="2" t="s">
        <v>243</v>
      </c>
      <c r="D182" s="2"/>
      <c r="E182" s="2"/>
      <c r="F182" s="21"/>
      <c r="G182" s="2"/>
    </row>
    <row r="183" spans="1:7" ht="14.25" thickBot="1" x14ac:dyDescent="0.2">
      <c r="A183" s="18" t="s">
        <v>184</v>
      </c>
      <c r="B183" s="10" t="s">
        <v>476</v>
      </c>
      <c r="C183" s="3" t="s">
        <v>465</v>
      </c>
      <c r="D183" s="3">
        <v>1137.0229999999999</v>
      </c>
      <c r="E183" s="17" t="s">
        <v>246</v>
      </c>
      <c r="F183" s="28" t="s">
        <v>659</v>
      </c>
      <c r="G183" s="3"/>
    </row>
    <row r="184" spans="1:7" ht="14.25" thickBot="1" x14ac:dyDescent="0.2">
      <c r="A184" s="18" t="s">
        <v>185</v>
      </c>
      <c r="B184" s="10" t="s">
        <v>475</v>
      </c>
      <c r="C184" s="3" t="s">
        <v>466</v>
      </c>
      <c r="D184" s="3">
        <v>1097.702</v>
      </c>
      <c r="E184" s="17" t="s">
        <v>246</v>
      </c>
      <c r="F184" s="28" t="s">
        <v>660</v>
      </c>
      <c r="G184" s="3"/>
    </row>
    <row r="185" spans="1:7" ht="14.25" thickBot="1" x14ac:dyDescent="0.2">
      <c r="A185" s="18" t="s">
        <v>186</v>
      </c>
      <c r="B185" s="10" t="s">
        <v>474</v>
      </c>
      <c r="C185" s="3" t="s">
        <v>467</v>
      </c>
      <c r="D185" s="3">
        <v>1031.0419999999999</v>
      </c>
      <c r="E185" s="17" t="s">
        <v>246</v>
      </c>
      <c r="F185" s="28" t="s">
        <v>661</v>
      </c>
      <c r="G185" s="3"/>
    </row>
    <row r="186" spans="1:7" ht="14.25" thickBot="1" x14ac:dyDescent="0.2">
      <c r="A186" s="18" t="s">
        <v>187</v>
      </c>
      <c r="B186" s="10" t="s">
        <v>473</v>
      </c>
      <c r="C186" s="3" t="s">
        <v>468</v>
      </c>
      <c r="D186" s="3">
        <v>996.16600000000005</v>
      </c>
      <c r="E186" s="17" t="s">
        <v>246</v>
      </c>
      <c r="F186" s="28" t="s">
        <v>662</v>
      </c>
      <c r="G186" s="3"/>
    </row>
    <row r="187" spans="1:7" ht="14.25" thickBot="1" x14ac:dyDescent="0.2">
      <c r="A187" s="18" t="s">
        <v>188</v>
      </c>
      <c r="B187" s="10" t="s">
        <v>472</v>
      </c>
      <c r="C187" s="3" t="s">
        <v>469</v>
      </c>
      <c r="D187" s="3">
        <v>1036.2919999999999</v>
      </c>
      <c r="E187" s="17" t="s">
        <v>246</v>
      </c>
      <c r="F187" s="28" t="s">
        <v>663</v>
      </c>
      <c r="G187" s="3"/>
    </row>
    <row r="188" spans="1:7" ht="14.25" thickBot="1" x14ac:dyDescent="0.2">
      <c r="A188" s="18" t="s">
        <v>189</v>
      </c>
      <c r="B188" s="10" t="s">
        <v>471</v>
      </c>
      <c r="C188" s="3" t="s">
        <v>470</v>
      </c>
      <c r="D188" s="3">
        <v>962.48</v>
      </c>
      <c r="E188" s="17" t="s">
        <v>246</v>
      </c>
      <c r="F188" s="28" t="s">
        <v>664</v>
      </c>
      <c r="G188" s="3"/>
    </row>
    <row r="189" spans="1:7" ht="14.25" thickBot="1" x14ac:dyDescent="0.2">
      <c r="A189" s="18" t="s">
        <v>190</v>
      </c>
      <c r="B189" s="12"/>
      <c r="C189" s="2" t="s">
        <v>243</v>
      </c>
      <c r="D189" s="2"/>
      <c r="E189" s="2"/>
      <c r="F189" s="21"/>
      <c r="G189" s="2"/>
    </row>
    <row r="190" spans="1:7" ht="14.25" thickBot="1" x14ac:dyDescent="0.2">
      <c r="A190" s="18" t="s">
        <v>191</v>
      </c>
      <c r="B190" s="10" t="s">
        <v>485</v>
      </c>
      <c r="C190" s="3" t="s">
        <v>477</v>
      </c>
      <c r="D190" s="3">
        <v>912.17100000000005</v>
      </c>
      <c r="E190" s="17" t="s">
        <v>246</v>
      </c>
      <c r="F190" s="28" t="s">
        <v>665</v>
      </c>
      <c r="G190" s="3"/>
    </row>
    <row r="191" spans="1:7" ht="14.25" thickBot="1" x14ac:dyDescent="0.2">
      <c r="A191" s="18" t="s">
        <v>192</v>
      </c>
      <c r="B191" s="10" t="s">
        <v>486</v>
      </c>
      <c r="C191" s="17" t="s">
        <v>478</v>
      </c>
      <c r="D191" s="3">
        <v>883.25099999999998</v>
      </c>
      <c r="E191" s="17" t="s">
        <v>246</v>
      </c>
      <c r="F191" s="28" t="s">
        <v>666</v>
      </c>
      <c r="G191" s="3"/>
    </row>
    <row r="192" spans="1:7" ht="14.25" thickBot="1" x14ac:dyDescent="0.2">
      <c r="A192" s="18" t="s">
        <v>193</v>
      </c>
      <c r="B192" s="10" t="s">
        <v>487</v>
      </c>
      <c r="C192" s="4" t="s">
        <v>479</v>
      </c>
      <c r="D192" s="4">
        <v>888.76499999999999</v>
      </c>
      <c r="E192" s="17" t="s">
        <v>246</v>
      </c>
      <c r="F192" s="28" t="s">
        <v>667</v>
      </c>
      <c r="G192" s="3"/>
    </row>
    <row r="193" spans="1:7" ht="14.25" thickBot="1" x14ac:dyDescent="0.2">
      <c r="A193" s="18" t="s">
        <v>194</v>
      </c>
      <c r="B193" s="10" t="s">
        <v>488</v>
      </c>
      <c r="C193" s="3" t="s">
        <v>480</v>
      </c>
      <c r="D193" s="3">
        <f>755.585+98.816</f>
        <v>854.40100000000007</v>
      </c>
      <c r="E193" s="17" t="s">
        <v>246</v>
      </c>
      <c r="F193" s="28" t="s">
        <v>668</v>
      </c>
      <c r="G193" s="3"/>
    </row>
    <row r="194" spans="1:7" ht="14.25" thickBot="1" x14ac:dyDescent="0.2">
      <c r="A194" s="18" t="s">
        <v>195</v>
      </c>
      <c r="B194" s="10" t="s">
        <v>489</v>
      </c>
      <c r="C194" s="3" t="s">
        <v>481</v>
      </c>
      <c r="D194" s="3">
        <v>807.02200000000005</v>
      </c>
      <c r="E194" s="17" t="s">
        <v>246</v>
      </c>
      <c r="F194" s="28" t="s">
        <v>669</v>
      </c>
      <c r="G194" s="3"/>
    </row>
    <row r="195" spans="1:7" ht="14.25" thickBot="1" x14ac:dyDescent="0.2">
      <c r="A195" s="18" t="s">
        <v>196</v>
      </c>
      <c r="B195" s="10" t="s">
        <v>490</v>
      </c>
      <c r="C195" s="3" t="s">
        <v>482</v>
      </c>
      <c r="D195" s="3">
        <v>859.69799999999998</v>
      </c>
      <c r="E195" s="17" t="s">
        <v>246</v>
      </c>
      <c r="F195" s="28" t="s">
        <v>670</v>
      </c>
      <c r="G195" s="3"/>
    </row>
    <row r="196" spans="1:7" ht="14.25" thickBot="1" x14ac:dyDescent="0.2">
      <c r="A196" s="18" t="s">
        <v>197</v>
      </c>
      <c r="B196" s="10" t="s">
        <v>491</v>
      </c>
      <c r="C196" s="3" t="s">
        <v>483</v>
      </c>
      <c r="D196" s="3">
        <v>820.31799999999998</v>
      </c>
      <c r="E196" s="17" t="s">
        <v>246</v>
      </c>
      <c r="F196" s="28" t="s">
        <v>671</v>
      </c>
      <c r="G196" s="3"/>
    </row>
    <row r="197" spans="1:7" ht="14.25" thickBot="1" x14ac:dyDescent="0.2">
      <c r="A197" s="18" t="s">
        <v>198</v>
      </c>
      <c r="B197" s="10" t="s">
        <v>492</v>
      </c>
      <c r="C197" s="3" t="s">
        <v>484</v>
      </c>
      <c r="D197" s="3">
        <v>838.42</v>
      </c>
      <c r="E197" s="17" t="s">
        <v>246</v>
      </c>
      <c r="F197" s="28" t="s">
        <v>672</v>
      </c>
      <c r="G197" s="3"/>
    </row>
    <row r="198" spans="1:7" ht="14.25" thickBot="1" x14ac:dyDescent="0.2">
      <c r="A198" s="18" t="s">
        <v>199</v>
      </c>
      <c r="B198" s="12"/>
      <c r="C198" s="2" t="s">
        <v>243</v>
      </c>
      <c r="D198" s="2"/>
      <c r="E198" s="2"/>
      <c r="F198" s="21"/>
      <c r="G198" s="2"/>
    </row>
    <row r="199" spans="1:7" ht="14.25" thickBot="1" x14ac:dyDescent="0.2">
      <c r="A199" s="18" t="s">
        <v>200</v>
      </c>
      <c r="B199" s="10" t="s">
        <v>497</v>
      </c>
      <c r="C199" s="3" t="s">
        <v>493</v>
      </c>
      <c r="D199" s="3">
        <v>1300.259</v>
      </c>
      <c r="E199" s="17" t="s">
        <v>246</v>
      </c>
      <c r="F199" s="28" t="s">
        <v>673</v>
      </c>
      <c r="G199" s="3"/>
    </row>
    <row r="200" spans="1:7" ht="14.25" thickBot="1" x14ac:dyDescent="0.2">
      <c r="A200" s="18" t="s">
        <v>201</v>
      </c>
      <c r="B200" s="10" t="s">
        <v>498</v>
      </c>
      <c r="C200" s="3" t="s">
        <v>494</v>
      </c>
      <c r="D200" s="3">
        <v>1300.682</v>
      </c>
      <c r="E200" s="17" t="s">
        <v>246</v>
      </c>
      <c r="F200" s="28" t="s">
        <v>674</v>
      </c>
      <c r="G200" s="3"/>
    </row>
    <row r="201" spans="1:7" ht="14.25" thickBot="1" x14ac:dyDescent="0.2">
      <c r="A201" s="18" t="s">
        <v>202</v>
      </c>
      <c r="B201" s="10" t="s">
        <v>499</v>
      </c>
      <c r="C201" s="3" t="s">
        <v>495</v>
      </c>
      <c r="D201" s="3">
        <v>1594.76</v>
      </c>
      <c r="E201" s="17" t="s">
        <v>246</v>
      </c>
      <c r="F201" s="28" t="s">
        <v>675</v>
      </c>
      <c r="G201" s="3"/>
    </row>
    <row r="202" spans="1:7" ht="14.25" thickBot="1" x14ac:dyDescent="0.2">
      <c r="A202" s="18" t="s">
        <v>203</v>
      </c>
      <c r="B202" s="12"/>
      <c r="C202" s="2" t="s">
        <v>243</v>
      </c>
      <c r="D202" s="2"/>
      <c r="E202" s="2"/>
      <c r="F202" s="21"/>
      <c r="G202" s="2"/>
    </row>
    <row r="203" spans="1:7" ht="14.25" thickBot="1" x14ac:dyDescent="0.2">
      <c r="A203" s="18" t="s">
        <v>204</v>
      </c>
      <c r="B203" s="10" t="s">
        <v>500</v>
      </c>
      <c r="C203" s="3" t="s">
        <v>496</v>
      </c>
      <c r="D203" s="3">
        <f>1270.475+353.991</f>
        <v>1624.4659999999999</v>
      </c>
      <c r="E203" s="17" t="s">
        <v>246</v>
      </c>
      <c r="F203" s="28" t="s">
        <v>676</v>
      </c>
      <c r="G203" s="3"/>
    </row>
    <row r="204" spans="1:7" ht="14.25" thickBot="1" x14ac:dyDescent="0.2">
      <c r="A204" s="18" t="s">
        <v>205</v>
      </c>
      <c r="B204" s="12"/>
      <c r="C204" s="2" t="s">
        <v>243</v>
      </c>
      <c r="D204" s="2"/>
      <c r="E204" s="2"/>
      <c r="F204" s="21"/>
      <c r="G204" s="2"/>
    </row>
    <row r="205" spans="1:7" ht="14.25" thickBot="1" x14ac:dyDescent="0.2">
      <c r="A205" s="18" t="s">
        <v>206</v>
      </c>
      <c r="B205" s="10" t="s">
        <v>524</v>
      </c>
      <c r="C205" s="3" t="s">
        <v>501</v>
      </c>
      <c r="D205" s="3">
        <v>1426.5119999999999</v>
      </c>
      <c r="E205" s="17" t="s">
        <v>246</v>
      </c>
      <c r="F205" s="28" t="s">
        <v>677</v>
      </c>
      <c r="G205" s="3"/>
    </row>
    <row r="206" spans="1:7" ht="14.25" thickBot="1" x14ac:dyDescent="0.2">
      <c r="A206" s="18" t="s">
        <v>207</v>
      </c>
      <c r="B206" s="10" t="s">
        <v>523</v>
      </c>
      <c r="C206" s="3" t="s">
        <v>502</v>
      </c>
      <c r="D206" s="3">
        <v>1300.431</v>
      </c>
      <c r="E206" s="17" t="s">
        <v>246</v>
      </c>
      <c r="F206" s="28" t="s">
        <v>678</v>
      </c>
      <c r="G206" s="3"/>
    </row>
    <row r="207" spans="1:7" ht="14.25" thickBot="1" x14ac:dyDescent="0.2">
      <c r="A207" s="18" t="s">
        <v>208</v>
      </c>
      <c r="B207" s="10" t="s">
        <v>522</v>
      </c>
      <c r="C207" s="3" t="s">
        <v>503</v>
      </c>
      <c r="D207" s="3">
        <v>1300.501</v>
      </c>
      <c r="E207" s="17" t="s">
        <v>246</v>
      </c>
      <c r="F207" s="28" t="s">
        <v>679</v>
      </c>
      <c r="G207" s="3"/>
    </row>
    <row r="208" spans="1:7" ht="14.25" thickBot="1" x14ac:dyDescent="0.2">
      <c r="A208" s="18" t="s">
        <v>209</v>
      </c>
      <c r="B208" s="10" t="s">
        <v>521</v>
      </c>
      <c r="C208" s="3" t="s">
        <v>504</v>
      </c>
      <c r="D208" s="3">
        <v>1365.4190000000001</v>
      </c>
      <c r="E208" s="17" t="s">
        <v>246</v>
      </c>
      <c r="F208" s="28" t="s">
        <v>680</v>
      </c>
      <c r="G208" s="3"/>
    </row>
    <row r="209" spans="1:7" ht="14.25" thickBot="1" x14ac:dyDescent="0.2">
      <c r="A209" s="18" t="s">
        <v>210</v>
      </c>
      <c r="B209" s="10" t="s">
        <v>520</v>
      </c>
      <c r="C209" s="3" t="s">
        <v>505</v>
      </c>
      <c r="D209" s="3">
        <v>1298.963</v>
      </c>
      <c r="E209" s="17" t="s">
        <v>246</v>
      </c>
      <c r="F209" s="28" t="s">
        <v>681</v>
      </c>
      <c r="G209" s="3"/>
    </row>
    <row r="210" spans="1:7" ht="14.25" thickBot="1" x14ac:dyDescent="0.2">
      <c r="A210" s="18" t="s">
        <v>211</v>
      </c>
      <c r="B210" s="10" t="s">
        <v>519</v>
      </c>
      <c r="C210" s="3" t="s">
        <v>506</v>
      </c>
      <c r="D210" s="3">
        <v>1298.953</v>
      </c>
      <c r="E210" s="17" t="s">
        <v>246</v>
      </c>
      <c r="F210" s="28" t="s">
        <v>682</v>
      </c>
      <c r="G210" s="3"/>
    </row>
    <row r="211" spans="1:7" ht="14.25" thickBot="1" x14ac:dyDescent="0.2">
      <c r="A211" s="18" t="s">
        <v>212</v>
      </c>
      <c r="B211" s="10" t="s">
        <v>518</v>
      </c>
      <c r="C211" s="3" t="s">
        <v>507</v>
      </c>
      <c r="D211" s="3">
        <v>1300.4670000000001</v>
      </c>
      <c r="E211" s="17" t="s">
        <v>246</v>
      </c>
      <c r="F211" s="28" t="s">
        <v>683</v>
      </c>
      <c r="G211" s="3"/>
    </row>
    <row r="212" spans="1:7" ht="14.25" thickBot="1" x14ac:dyDescent="0.2">
      <c r="A212" s="18" t="s">
        <v>213</v>
      </c>
      <c r="B212" s="10" t="s">
        <v>517</v>
      </c>
      <c r="C212" s="3" t="s">
        <v>508</v>
      </c>
      <c r="D212" s="3">
        <v>1300.4259999999999</v>
      </c>
      <c r="E212" s="17" t="s">
        <v>246</v>
      </c>
      <c r="F212" s="28" t="s">
        <v>684</v>
      </c>
      <c r="G212" s="3"/>
    </row>
    <row r="213" spans="1:7" ht="14.25" thickBot="1" x14ac:dyDescent="0.2">
      <c r="A213" s="18" t="s">
        <v>214</v>
      </c>
      <c r="B213" s="12"/>
      <c r="C213" s="2" t="s">
        <v>243</v>
      </c>
      <c r="D213" s="2"/>
      <c r="E213" s="2"/>
      <c r="F213" s="21"/>
      <c r="G213" s="2"/>
    </row>
    <row r="214" spans="1:7" ht="14.25" thickBot="1" x14ac:dyDescent="0.2">
      <c r="A214" s="18" t="s">
        <v>215</v>
      </c>
      <c r="B214" s="10" t="s">
        <v>525</v>
      </c>
      <c r="C214" s="3" t="s">
        <v>509</v>
      </c>
      <c r="D214" s="3">
        <v>1300.0630000000001</v>
      </c>
      <c r="E214" s="17" t="s">
        <v>246</v>
      </c>
      <c r="F214" s="28" t="s">
        <v>685</v>
      </c>
      <c r="G214" s="3"/>
    </row>
    <row r="215" spans="1:7" ht="14.25" thickBot="1" x14ac:dyDescent="0.2">
      <c r="A215" s="18" t="s">
        <v>216</v>
      </c>
      <c r="B215" s="10" t="s">
        <v>527</v>
      </c>
      <c r="C215" s="3" t="s">
        <v>510</v>
      </c>
      <c r="D215" s="3">
        <v>1300.348</v>
      </c>
      <c r="E215" s="17" t="s">
        <v>246</v>
      </c>
      <c r="F215" s="28" t="s">
        <v>686</v>
      </c>
      <c r="G215" s="3"/>
    </row>
    <row r="216" spans="1:7" ht="14.25" thickBot="1" x14ac:dyDescent="0.2">
      <c r="A216" s="18" t="s">
        <v>217</v>
      </c>
      <c r="B216" s="10" t="s">
        <v>526</v>
      </c>
      <c r="C216" s="3" t="s">
        <v>511</v>
      </c>
      <c r="D216" s="3">
        <v>1300.067</v>
      </c>
      <c r="E216" s="17" t="s">
        <v>246</v>
      </c>
      <c r="F216" s="28" t="s">
        <v>687</v>
      </c>
      <c r="G216" s="3"/>
    </row>
    <row r="217" spans="1:7" ht="14.25" thickBot="1" x14ac:dyDescent="0.2">
      <c r="A217" s="18" t="s">
        <v>218</v>
      </c>
      <c r="B217" s="10" t="s">
        <v>528</v>
      </c>
      <c r="C217" s="3" t="s">
        <v>512</v>
      </c>
      <c r="D217" s="3">
        <v>1300.9059999999999</v>
      </c>
      <c r="E217" s="17" t="s">
        <v>246</v>
      </c>
      <c r="F217" s="28" t="s">
        <v>688</v>
      </c>
      <c r="G217" s="3"/>
    </row>
    <row r="218" spans="1:7" ht="14.25" thickBot="1" x14ac:dyDescent="0.2">
      <c r="A218" s="18" t="s">
        <v>219</v>
      </c>
      <c r="B218" s="10" t="s">
        <v>529</v>
      </c>
      <c r="C218" s="3" t="s">
        <v>513</v>
      </c>
      <c r="D218" s="3">
        <v>1299.9829999999999</v>
      </c>
      <c r="E218" s="17" t="s">
        <v>246</v>
      </c>
      <c r="F218" s="28" t="s">
        <v>689</v>
      </c>
      <c r="G218" s="3"/>
    </row>
    <row r="219" spans="1:7" ht="14.25" thickBot="1" x14ac:dyDescent="0.2">
      <c r="A219" s="18" t="s">
        <v>220</v>
      </c>
      <c r="B219" s="10" t="s">
        <v>530</v>
      </c>
      <c r="C219" s="3" t="s">
        <v>514</v>
      </c>
      <c r="D219" s="3">
        <v>1300.1279999999999</v>
      </c>
      <c r="E219" s="17" t="s">
        <v>246</v>
      </c>
      <c r="F219" s="28" t="s">
        <v>690</v>
      </c>
      <c r="G219" s="3"/>
    </row>
    <row r="220" spans="1:7" ht="14.25" thickBot="1" x14ac:dyDescent="0.2">
      <c r="A220" s="18" t="s">
        <v>221</v>
      </c>
      <c r="B220" s="10" t="s">
        <v>531</v>
      </c>
      <c r="C220" s="3" t="s">
        <v>515</v>
      </c>
      <c r="D220" s="3">
        <v>1300.386</v>
      </c>
      <c r="E220" s="17" t="s">
        <v>246</v>
      </c>
      <c r="F220" s="28" t="s">
        <v>691</v>
      </c>
      <c r="G220" s="3"/>
    </row>
    <row r="221" spans="1:7" ht="14.25" thickBot="1" x14ac:dyDescent="0.2">
      <c r="A221" s="18" t="s">
        <v>222</v>
      </c>
      <c r="B221" s="10" t="s">
        <v>532</v>
      </c>
      <c r="C221" s="3" t="s">
        <v>516</v>
      </c>
      <c r="D221" s="3">
        <v>1300.365</v>
      </c>
      <c r="E221" s="17" t="s">
        <v>246</v>
      </c>
      <c r="F221" s="28" t="s">
        <v>692</v>
      </c>
      <c r="G221" s="3"/>
    </row>
    <row r="222" spans="1:7" ht="14.25" thickBot="1" x14ac:dyDescent="0.2">
      <c r="A222" s="18" t="s">
        <v>223</v>
      </c>
      <c r="B222" s="12"/>
      <c r="C222" s="2" t="s">
        <v>243</v>
      </c>
      <c r="D222" s="2"/>
      <c r="E222" s="2"/>
      <c r="F222" s="21"/>
      <c r="G222" s="2"/>
    </row>
    <row r="223" spans="1:7" ht="14.25" thickBot="1" x14ac:dyDescent="0.2">
      <c r="A223" s="18" t="s">
        <v>224</v>
      </c>
      <c r="B223" s="10" t="s">
        <v>547</v>
      </c>
      <c r="C223" s="3" t="s">
        <v>533</v>
      </c>
      <c r="D223" s="3">
        <v>1318.2750000000001</v>
      </c>
      <c r="E223" s="17" t="s">
        <v>246</v>
      </c>
      <c r="F223" s="28" t="s">
        <v>693</v>
      </c>
      <c r="G223" s="3"/>
    </row>
    <row r="224" spans="1:7" ht="14.25" thickBot="1" x14ac:dyDescent="0.2">
      <c r="A224" s="18" t="s">
        <v>225</v>
      </c>
      <c r="B224" s="10" t="s">
        <v>548</v>
      </c>
      <c r="C224" s="3" t="s">
        <v>534</v>
      </c>
      <c r="D224" s="3">
        <v>1300.547</v>
      </c>
      <c r="E224" s="17" t="s">
        <v>246</v>
      </c>
      <c r="F224" s="28" t="s">
        <v>694</v>
      </c>
      <c r="G224" s="3"/>
    </row>
    <row r="225" spans="1:7" ht="14.25" thickBot="1" x14ac:dyDescent="0.2">
      <c r="A225" s="18" t="s">
        <v>226</v>
      </c>
      <c r="B225" s="10" t="s">
        <v>549</v>
      </c>
      <c r="C225" s="3" t="s">
        <v>535</v>
      </c>
      <c r="D225" s="3">
        <v>1377.1279999999999</v>
      </c>
      <c r="E225" s="17" t="s">
        <v>246</v>
      </c>
      <c r="F225" s="28" t="s">
        <v>695</v>
      </c>
      <c r="G225" s="3"/>
    </row>
    <row r="226" spans="1:7" ht="14.25" thickBot="1" x14ac:dyDescent="0.2">
      <c r="A226" s="18" t="s">
        <v>227</v>
      </c>
      <c r="B226" s="10" t="s">
        <v>550</v>
      </c>
      <c r="C226" s="3" t="s">
        <v>536</v>
      </c>
      <c r="D226" s="3">
        <v>1318.8679999999999</v>
      </c>
      <c r="E226" s="17" t="s">
        <v>246</v>
      </c>
      <c r="F226" s="28" t="s">
        <v>696</v>
      </c>
      <c r="G226" s="3"/>
    </row>
    <row r="227" spans="1:7" ht="14.25" thickBot="1" x14ac:dyDescent="0.2">
      <c r="A227" s="18" t="s">
        <v>228</v>
      </c>
      <c r="B227" s="10" t="s">
        <v>551</v>
      </c>
      <c r="C227" s="3" t="s">
        <v>537</v>
      </c>
      <c r="D227" s="3">
        <v>1299.4559999999999</v>
      </c>
      <c r="E227" s="17" t="s">
        <v>246</v>
      </c>
      <c r="F227" s="28" t="s">
        <v>697</v>
      </c>
      <c r="G227" s="3"/>
    </row>
    <row r="228" spans="1:7" ht="14.25" thickBot="1" x14ac:dyDescent="0.2">
      <c r="A228" s="18" t="s">
        <v>229</v>
      </c>
      <c r="B228" s="10" t="s">
        <v>552</v>
      </c>
      <c r="C228" s="3" t="s">
        <v>538</v>
      </c>
      <c r="D228" s="3">
        <v>1317.277</v>
      </c>
      <c r="E228" s="17" t="s">
        <v>246</v>
      </c>
      <c r="F228" s="28" t="s">
        <v>698</v>
      </c>
      <c r="G228" s="3"/>
    </row>
    <row r="229" spans="1:7" ht="14.25" thickBot="1" x14ac:dyDescent="0.2">
      <c r="A229" s="18" t="s">
        <v>230</v>
      </c>
      <c r="B229" s="10" t="s">
        <v>546</v>
      </c>
      <c r="C229" s="3" t="s">
        <v>539</v>
      </c>
      <c r="D229" s="3">
        <v>1502.9490000000001</v>
      </c>
      <c r="E229" s="17" t="s">
        <v>246</v>
      </c>
      <c r="F229" s="28" t="s">
        <v>699</v>
      </c>
      <c r="G229" s="3"/>
    </row>
    <row r="230" spans="1:7" ht="14.25" thickBot="1" x14ac:dyDescent="0.2">
      <c r="A230" s="18" t="s">
        <v>231</v>
      </c>
      <c r="B230" s="10" t="s">
        <v>545</v>
      </c>
      <c r="C230" s="3" t="s">
        <v>540</v>
      </c>
      <c r="D230" s="3">
        <v>1300.3920000000001</v>
      </c>
      <c r="E230" s="17" t="s">
        <v>246</v>
      </c>
      <c r="F230" s="28" t="s">
        <v>700</v>
      </c>
      <c r="G230" s="3"/>
    </row>
    <row r="231" spans="1:7" ht="14.25" thickBot="1" x14ac:dyDescent="0.2">
      <c r="A231" s="18" t="s">
        <v>232</v>
      </c>
      <c r="B231" s="12"/>
      <c r="C231" s="2" t="s">
        <v>243</v>
      </c>
      <c r="D231" s="2"/>
      <c r="E231" s="2"/>
      <c r="F231" s="21"/>
      <c r="G231" s="2"/>
    </row>
    <row r="232" spans="1:7" ht="14.25" thickBot="1" x14ac:dyDescent="0.2">
      <c r="A232" s="18" t="s">
        <v>233</v>
      </c>
      <c r="B232" s="10" t="s">
        <v>544</v>
      </c>
      <c r="C232" s="3" t="s">
        <v>541</v>
      </c>
      <c r="D232" s="3">
        <v>1561.354</v>
      </c>
      <c r="E232" s="17" t="s">
        <v>246</v>
      </c>
      <c r="F232" s="28" t="s">
        <v>701</v>
      </c>
      <c r="G232" s="3"/>
    </row>
    <row r="233" spans="1:7" ht="14.25" thickBot="1" x14ac:dyDescent="0.2">
      <c r="A233" s="18" t="s">
        <v>234</v>
      </c>
      <c r="B233" s="10" t="s">
        <v>543</v>
      </c>
      <c r="C233" s="3" t="s">
        <v>542</v>
      </c>
      <c r="D233" s="3">
        <v>1347.9590000000001</v>
      </c>
      <c r="E233" s="17" t="s">
        <v>246</v>
      </c>
      <c r="F233" s="28" t="s">
        <v>702</v>
      </c>
      <c r="G233" s="3"/>
    </row>
    <row r="234" spans="1:7" ht="14.25" thickBot="1" x14ac:dyDescent="0.2">
      <c r="A234" s="18" t="s">
        <v>235</v>
      </c>
      <c r="B234" s="12"/>
      <c r="C234" s="2" t="s">
        <v>243</v>
      </c>
      <c r="D234" s="2"/>
      <c r="E234" s="2"/>
      <c r="F234" s="21"/>
      <c r="G234" s="2"/>
    </row>
    <row r="235" spans="1:7" ht="14.25" thickBot="1" x14ac:dyDescent="0.2">
      <c r="A235" s="18" t="s">
        <v>236</v>
      </c>
      <c r="B235" s="10" t="s">
        <v>6</v>
      </c>
      <c r="C235" s="3"/>
      <c r="D235" s="3"/>
      <c r="E235" s="3"/>
      <c r="F235" s="20"/>
      <c r="G235" s="3"/>
    </row>
    <row r="236" spans="1:7" ht="14.25" thickBot="1" x14ac:dyDescent="0.2">
      <c r="A236" s="18" t="s">
        <v>237</v>
      </c>
      <c r="B236" s="10" t="s">
        <v>6</v>
      </c>
      <c r="C236" s="3"/>
      <c r="D236" s="3"/>
      <c r="E236" s="3"/>
      <c r="F236" s="20"/>
      <c r="G236" s="3"/>
    </row>
    <row r="237" spans="1:7" ht="14.25" thickBot="1" x14ac:dyDescent="0.2">
      <c r="A237" s="18" t="s">
        <v>238</v>
      </c>
      <c r="B237" s="10" t="s">
        <v>6</v>
      </c>
      <c r="C237" s="3"/>
      <c r="D237" s="3"/>
      <c r="E237" s="3"/>
      <c r="F237" s="20"/>
      <c r="G237" s="3"/>
    </row>
    <row r="238" spans="1:7" ht="14.25" thickBot="1" x14ac:dyDescent="0.2">
      <c r="A238" s="18" t="s">
        <v>239</v>
      </c>
      <c r="B238" s="10" t="s">
        <v>6</v>
      </c>
      <c r="C238" s="3"/>
      <c r="D238" s="3"/>
      <c r="E238" s="3"/>
      <c r="F238" s="20"/>
      <c r="G238" s="3"/>
    </row>
    <row r="239" spans="1:7" ht="14.25" thickBot="1" x14ac:dyDescent="0.2">
      <c r="A239" s="18" t="s">
        <v>240</v>
      </c>
      <c r="B239" s="10" t="s">
        <v>6</v>
      </c>
      <c r="C239" s="3"/>
      <c r="D239" s="3"/>
      <c r="E239" s="3"/>
      <c r="F239" s="20"/>
      <c r="G239" s="3"/>
    </row>
    <row r="240" spans="1:7" ht="14.25" thickBot="1" x14ac:dyDescent="0.2">
      <c r="A240" s="18" t="s">
        <v>241</v>
      </c>
      <c r="B240" s="10" t="s">
        <v>6</v>
      </c>
      <c r="C240" s="3"/>
      <c r="D240" s="3"/>
      <c r="E240" s="3"/>
      <c r="F240" s="20"/>
      <c r="G240" s="3"/>
    </row>
    <row r="241" spans="1:7" x14ac:dyDescent="0.15">
      <c r="A241" s="18" t="s">
        <v>242</v>
      </c>
      <c r="B241" s="10" t="s">
        <v>6</v>
      </c>
      <c r="C241" s="3"/>
      <c r="D241" s="3"/>
      <c r="E241" s="3"/>
      <c r="F241" s="20"/>
      <c r="G241" s="3"/>
    </row>
  </sheetData>
  <mergeCells count="1">
    <mergeCell ref="G62:G66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adsa</cp:lastModifiedBy>
  <dcterms:created xsi:type="dcterms:W3CDTF">2023-05-12T11:15:00Z</dcterms:created>
  <dcterms:modified xsi:type="dcterms:W3CDTF">2026-03-27T02:52:55Z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E75410A4C95C403BAEF939A5D1100ED7_12</vt:lpwstr>
  </property>
</Properties>
</file>